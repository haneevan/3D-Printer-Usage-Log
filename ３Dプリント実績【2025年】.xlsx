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FB3EABE-24F3-405D-A81F-201D341A06B0}" xr6:coauthVersionLast="47" xr6:coauthVersionMax="47" xr10:uidLastSave="{00000000-0000-0000-0000-000000000000}"/>
  <bookViews>
    <workbookView xWindow="-120" yWindow="-120" windowWidth="29040" windowHeight="15720" firstSheet="2" activeTab="12" xr2:uid="{BE1339F8-FEA0-42B7-AE75-C5251BC4EEFB}"/>
  </bookViews>
  <sheets>
    <sheet name="グラフ1" sheetId="12" r:id="rId1"/>
    <sheet name="グラフ2" sheetId="13" r:id="rId2"/>
    <sheet name="集計用" sheetId="11" r:id="rId3"/>
    <sheet name="genshi" sheetId="8" r:id="rId4"/>
    <sheet name="Sheet1" sheetId="4" r:id="rId5"/>
    <sheet name="Sheet2" sheetId="7" r:id="rId6"/>
    <sheet name="Sheet3" sheetId="6" r:id="rId7"/>
    <sheet name="Sheet4" sheetId="10" r:id="rId8"/>
    <sheet name="Sheet5" sheetId="14" r:id="rId9"/>
    <sheet name="Sheet6" sheetId="15" r:id="rId10"/>
    <sheet name="Sheet7" sheetId="16" r:id="rId11"/>
    <sheet name="Sheet8" sheetId="17" r:id="rId12"/>
    <sheet name="Sheet9" sheetId="18" r:id="rId13"/>
  </sheets>
  <definedNames>
    <definedName name="_xlnm.Print_Area" localSheetId="3">genshi!$A$1:$I$30</definedName>
    <definedName name="_xlnm.Print_Area" localSheetId="4">Sheet1!$A$1:$J$30</definedName>
    <definedName name="_xlnm.Print_Area" localSheetId="5">Sheet2!$A$1:$J$30</definedName>
    <definedName name="_xlnm.Print_Area" localSheetId="6">Sheet3!$A$1:$J$30</definedName>
    <definedName name="_xlnm.Print_Area" localSheetId="7">Sheet4!$A$1:$J$30</definedName>
    <definedName name="_xlnm.Print_Area" localSheetId="8">Sheet5!$A$1:$I$30</definedName>
    <definedName name="_xlnm.Print_Area" localSheetId="9">Sheet6!$A$1:$I$30</definedName>
    <definedName name="_xlnm.Print_Area" localSheetId="10">Sheet7!$A$1:$I$30</definedName>
    <definedName name="_xlnm.Print_Area" localSheetId="11">Sheet8!$A$1:$I$30</definedName>
    <definedName name="_xlnm.Print_Area" localSheetId="12">Sheet9!$A$1:$I$30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" i="18" l="1"/>
  <c r="I25" i="18"/>
  <c r="I24" i="18"/>
  <c r="I23" i="18"/>
  <c r="I22" i="18"/>
  <c r="I21" i="18"/>
  <c r="I20" i="18"/>
  <c r="I19" i="18"/>
  <c r="I18" i="18"/>
  <c r="I17" i="18"/>
  <c r="I16" i="18"/>
  <c r="I15" i="18"/>
  <c r="I14" i="18"/>
  <c r="I13" i="18"/>
  <c r="I12" i="18"/>
  <c r="I11" i="18"/>
  <c r="I10" i="18"/>
  <c r="I9" i="18"/>
  <c r="I8" i="18"/>
  <c r="I7" i="18"/>
  <c r="I6" i="18"/>
  <c r="I5" i="18"/>
  <c r="I4" i="18"/>
  <c r="I26" i="17"/>
  <c r="I25" i="17"/>
  <c r="I24" i="17"/>
  <c r="I23" i="17"/>
  <c r="I22" i="17"/>
  <c r="I21" i="17"/>
  <c r="I20" i="17"/>
  <c r="I19" i="17"/>
  <c r="I18" i="17"/>
  <c r="I17" i="17"/>
  <c r="I16" i="17"/>
  <c r="I15" i="17"/>
  <c r="I14" i="17"/>
  <c r="I13" i="17"/>
  <c r="I12" i="17"/>
  <c r="I11" i="17"/>
  <c r="I10" i="17"/>
  <c r="I9" i="17"/>
  <c r="I8" i="17"/>
  <c r="I7" i="17"/>
  <c r="I6" i="17"/>
  <c r="I5" i="17"/>
  <c r="I4" i="17"/>
  <c r="J153" i="11"/>
  <c r="J152" i="11"/>
  <c r="J151" i="11"/>
  <c r="J150" i="11"/>
  <c r="J149" i="11"/>
  <c r="J148" i="11"/>
  <c r="J147" i="11"/>
  <c r="J146" i="11"/>
  <c r="J145" i="11"/>
  <c r="J144" i="11"/>
  <c r="J143" i="11"/>
  <c r="J142" i="11"/>
  <c r="J141" i="11"/>
  <c r="J140" i="11"/>
  <c r="J139" i="11"/>
  <c r="J138" i="11"/>
  <c r="J137" i="11"/>
  <c r="J136" i="11"/>
  <c r="J135" i="11"/>
  <c r="J134" i="11"/>
  <c r="J133" i="11"/>
  <c r="J132" i="11"/>
  <c r="J131" i="11"/>
  <c r="J130" i="11"/>
  <c r="J129" i="11"/>
  <c r="J128" i="11"/>
  <c r="J127" i="11"/>
  <c r="J126" i="11"/>
  <c r="J125" i="11"/>
  <c r="J124" i="11"/>
  <c r="J123" i="11"/>
  <c r="J122" i="11"/>
  <c r="J121" i="11"/>
  <c r="J120" i="11"/>
  <c r="J119" i="11"/>
  <c r="J118" i="11"/>
  <c r="J117" i="11"/>
  <c r="J116" i="11"/>
  <c r="J115" i="11"/>
  <c r="J114" i="11"/>
  <c r="J113" i="11"/>
  <c r="J112" i="11"/>
  <c r="J111" i="11"/>
  <c r="J110" i="11"/>
  <c r="J109" i="11"/>
  <c r="J108" i="11"/>
  <c r="J107" i="11"/>
  <c r="J106" i="11"/>
  <c r="J105" i="11"/>
  <c r="I17" i="15"/>
  <c r="I26" i="16"/>
  <c r="I25" i="16"/>
  <c r="I24" i="16"/>
  <c r="I23" i="16"/>
  <c r="I22" i="16"/>
  <c r="I21" i="16"/>
  <c r="I20" i="16"/>
  <c r="I19" i="16"/>
  <c r="I18" i="16"/>
  <c r="I17" i="16"/>
  <c r="I16" i="16"/>
  <c r="I15" i="16"/>
  <c r="I14" i="16"/>
  <c r="I13" i="16"/>
  <c r="I12" i="16"/>
  <c r="I11" i="16"/>
  <c r="I10" i="16"/>
  <c r="I9" i="16"/>
  <c r="I8" i="16"/>
  <c r="I7" i="16"/>
  <c r="I6" i="16"/>
  <c r="I5" i="16"/>
  <c r="I4" i="16"/>
  <c r="I26" i="15"/>
  <c r="I25" i="15"/>
  <c r="I24" i="15"/>
  <c r="I23" i="15"/>
  <c r="I22" i="15"/>
  <c r="I21" i="15"/>
  <c r="I20" i="15"/>
  <c r="I19" i="15"/>
  <c r="I18" i="15"/>
  <c r="I16" i="15"/>
  <c r="I15" i="15"/>
  <c r="I14" i="15"/>
  <c r="I13" i="15"/>
  <c r="I12" i="15"/>
  <c r="I11" i="15"/>
  <c r="I10" i="15"/>
  <c r="I9" i="15"/>
  <c r="I8" i="15"/>
  <c r="I7" i="15"/>
  <c r="I6" i="15"/>
  <c r="I5" i="15"/>
  <c r="I4" i="15"/>
  <c r="Q125" i="11"/>
  <c r="Q124" i="11"/>
  <c r="Q123" i="11"/>
  <c r="Q122" i="11"/>
  <c r="Q121" i="11"/>
  <c r="O125" i="11"/>
  <c r="O124" i="11"/>
  <c r="O123" i="11"/>
  <c r="O122" i="11"/>
  <c r="O121" i="11"/>
  <c r="J104" i="11"/>
  <c r="J103" i="11"/>
  <c r="J102" i="11"/>
  <c r="J101" i="11"/>
  <c r="J100" i="11"/>
  <c r="J99" i="11"/>
  <c r="J98" i="11"/>
  <c r="J97" i="11"/>
  <c r="J96" i="11"/>
  <c r="J95" i="11"/>
  <c r="J94" i="11"/>
  <c r="J93" i="11"/>
  <c r="J92" i="11"/>
  <c r="J91" i="11"/>
  <c r="J90" i="11"/>
  <c r="J89" i="11"/>
  <c r="J88" i="11"/>
  <c r="J87" i="11"/>
  <c r="I26" i="14"/>
  <c r="I25" i="14"/>
  <c r="I24" i="14"/>
  <c r="I23" i="14"/>
  <c r="I22" i="14"/>
  <c r="I21" i="14"/>
  <c r="I20" i="14"/>
  <c r="I19" i="14"/>
  <c r="I18" i="14"/>
  <c r="I17" i="14"/>
  <c r="I16" i="14"/>
  <c r="I15" i="14"/>
  <c r="I14" i="14"/>
  <c r="I13" i="14"/>
  <c r="I12" i="14"/>
  <c r="I11" i="14"/>
  <c r="I10" i="14"/>
  <c r="I9" i="14"/>
  <c r="I8" i="14"/>
  <c r="I7" i="14"/>
  <c r="I6" i="14"/>
  <c r="I5" i="14"/>
  <c r="I4" i="14"/>
  <c r="J86" i="11"/>
  <c r="J85" i="11"/>
  <c r="J84" i="11"/>
  <c r="J83" i="11"/>
  <c r="J82" i="11"/>
  <c r="J81" i="11"/>
  <c r="J80" i="11"/>
  <c r="J79" i="11"/>
  <c r="J78" i="11"/>
  <c r="J77" i="11"/>
  <c r="K76" i="11"/>
  <c r="J76" i="11"/>
  <c r="J75" i="11"/>
  <c r="J74" i="11"/>
  <c r="J73" i="11"/>
  <c r="J72" i="11"/>
  <c r="J71" i="11"/>
  <c r="J70" i="11"/>
  <c r="J69" i="11"/>
  <c r="J68" i="11"/>
  <c r="J67" i="11"/>
  <c r="J66" i="11"/>
  <c r="J65" i="11"/>
  <c r="J64" i="11"/>
  <c r="J63" i="11"/>
  <c r="J62" i="11"/>
  <c r="K61" i="11"/>
  <c r="J61" i="11"/>
  <c r="J60" i="11"/>
  <c r="J59" i="11"/>
  <c r="J58" i="11"/>
  <c r="J57" i="11"/>
  <c r="J56" i="11"/>
  <c r="J55" i="11"/>
  <c r="J54" i="11"/>
  <c r="J53" i="11"/>
  <c r="J52" i="11"/>
  <c r="J51" i="11"/>
  <c r="J50" i="11"/>
  <c r="J49" i="11"/>
  <c r="K48" i="11"/>
  <c r="J48" i="11"/>
  <c r="J47" i="11"/>
  <c r="K46" i="11"/>
  <c r="J46" i="11"/>
  <c r="J45" i="11"/>
  <c r="J44" i="11"/>
  <c r="J43" i="11"/>
  <c r="J42" i="11"/>
  <c r="J41" i="11"/>
  <c r="J40" i="11"/>
  <c r="J39" i="11"/>
  <c r="J38" i="11"/>
  <c r="J37" i="11"/>
  <c r="J36" i="11"/>
  <c r="J35" i="11"/>
  <c r="J34" i="11"/>
  <c r="J33" i="11"/>
  <c r="J32" i="11"/>
  <c r="J31" i="11"/>
  <c r="J30" i="11"/>
  <c r="J29" i="11"/>
  <c r="J28" i="11"/>
  <c r="J27" i="11"/>
  <c r="J26" i="11"/>
  <c r="J25" i="11"/>
  <c r="J24" i="11"/>
  <c r="J23" i="11"/>
  <c r="J22" i="11"/>
  <c r="J21" i="11"/>
  <c r="J20" i="11"/>
  <c r="J19" i="11"/>
  <c r="J18" i="11"/>
  <c r="J17" i="11"/>
  <c r="J16" i="11"/>
  <c r="J15" i="11"/>
  <c r="J14" i="11"/>
  <c r="J13" i="11"/>
  <c r="J12" i="11"/>
  <c r="J11" i="11"/>
  <c r="J10" i="11"/>
  <c r="J9" i="11"/>
  <c r="J8" i="11"/>
  <c r="J7" i="11"/>
  <c r="J6" i="11"/>
  <c r="J5" i="11"/>
  <c r="J4" i="11"/>
  <c r="J3" i="11"/>
  <c r="J2" i="11"/>
  <c r="J17" i="6"/>
  <c r="J4" i="6"/>
  <c r="J25" i="7"/>
  <c r="I17" i="10"/>
  <c r="J9" i="10"/>
  <c r="I12" i="10"/>
  <c r="I23" i="6"/>
  <c r="I27" i="8"/>
  <c r="I26" i="10"/>
  <c r="I25" i="10"/>
  <c r="I24" i="10"/>
  <c r="I23" i="10"/>
  <c r="I22" i="10"/>
  <c r="I21" i="10"/>
  <c r="I20" i="10"/>
  <c r="I19" i="10"/>
  <c r="I18" i="10"/>
  <c r="I16" i="10"/>
  <c r="I15" i="10"/>
  <c r="I14" i="10"/>
  <c r="I13" i="10"/>
  <c r="I11" i="10"/>
  <c r="I10" i="10"/>
  <c r="I9" i="10"/>
  <c r="I8" i="10"/>
  <c r="I7" i="10"/>
  <c r="I6" i="10"/>
  <c r="I5" i="10"/>
  <c r="I4" i="10"/>
  <c r="I15" i="6"/>
  <c r="I16" i="6"/>
  <c r="I13" i="6"/>
  <c r="I14" i="6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I6" i="8"/>
  <c r="I5" i="8"/>
  <c r="I4" i="8"/>
  <c r="I26" i="7"/>
  <c r="I25" i="7"/>
  <c r="I24" i="7"/>
  <c r="I23" i="7"/>
  <c r="I22" i="7"/>
  <c r="I21" i="7"/>
  <c r="I20" i="7"/>
  <c r="I19" i="7"/>
  <c r="I18" i="7"/>
  <c r="I17" i="7"/>
  <c r="I16" i="7"/>
  <c r="I15" i="7"/>
  <c r="I14" i="7"/>
  <c r="I13" i="7"/>
  <c r="I12" i="7"/>
  <c r="I11" i="7"/>
  <c r="I10" i="7"/>
  <c r="I9" i="7"/>
  <c r="I8" i="7"/>
  <c r="I7" i="7"/>
  <c r="I6" i="7"/>
  <c r="I5" i="7"/>
  <c r="I4" i="7"/>
  <c r="I26" i="4"/>
  <c r="I26" i="6"/>
  <c r="I25" i="6"/>
  <c r="I24" i="6"/>
  <c r="I22" i="6"/>
  <c r="I21" i="6"/>
  <c r="I20" i="6"/>
  <c r="I19" i="6"/>
  <c r="I18" i="6"/>
  <c r="I17" i="6"/>
  <c r="I12" i="6"/>
  <c r="I11" i="6"/>
  <c r="I10" i="6"/>
  <c r="I9" i="6"/>
  <c r="I8" i="6"/>
  <c r="I7" i="6"/>
  <c r="I6" i="6"/>
  <c r="I5" i="6"/>
  <c r="I4" i="6"/>
  <c r="I20" i="4"/>
  <c r="I21" i="4"/>
  <c r="I22" i="4"/>
  <c r="I23" i="4"/>
  <c r="I24" i="4"/>
  <c r="I25" i="4"/>
  <c r="I12" i="4"/>
  <c r="I13" i="4"/>
  <c r="I14" i="4"/>
  <c r="I15" i="4"/>
  <c r="I16" i="4"/>
  <c r="I17" i="4"/>
  <c r="I18" i="4"/>
  <c r="I19" i="4"/>
  <c r="I6" i="4"/>
  <c r="I7" i="4"/>
  <c r="I8" i="4"/>
  <c r="I9" i="4"/>
  <c r="I10" i="4"/>
  <c r="I11" i="4"/>
  <c r="I4" i="4"/>
  <c r="I5" i="4"/>
  <c r="I27" i="18" l="1"/>
  <c r="I27" i="17"/>
  <c r="I27" i="16"/>
  <c r="I27" i="15"/>
  <c r="O126" i="11"/>
  <c r="I27" i="14"/>
  <c r="Q126" i="11"/>
  <c r="I27" i="4"/>
  <c r="I27" i="7"/>
  <c r="I27" i="6"/>
  <c r="I27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reigicad</author>
  </authors>
  <commentList>
    <comment ref="K46" authorId="0" shapeId="0" xr:uid="{DF19E631-3759-4ABB-9F6C-B4849CDA480B}">
      <text>
        <r>
          <rPr>
            <b/>
            <sz val="9"/>
            <color indexed="81"/>
            <rFont val="MS P ゴシック"/>
            <family val="3"/>
            <charset val="128"/>
          </rPr>
          <t>reigicad:</t>
        </r>
        <r>
          <rPr>
            <sz val="9"/>
            <color indexed="81"/>
            <rFont val="MS P ゴシック"/>
            <family val="3"/>
            <charset val="128"/>
          </rPr>
          <t xml:space="preserve">
外注22，500
</t>
        </r>
      </text>
    </comment>
    <comment ref="K48" authorId="0" shapeId="0" xr:uid="{44C33401-4D8C-46C5-96FD-96EA1BC8F7DE}">
      <text>
        <r>
          <rPr>
            <b/>
            <sz val="9"/>
            <color indexed="81"/>
            <rFont val="MS P ゴシック"/>
            <family val="3"/>
            <charset val="128"/>
          </rPr>
          <t>reigicad:</t>
        </r>
        <r>
          <rPr>
            <sz val="9"/>
            <color indexed="81"/>
            <rFont val="MS P ゴシック"/>
            <family val="3"/>
            <charset val="128"/>
          </rPr>
          <t xml:space="preserve">
外注22，500
</t>
        </r>
      </text>
    </comment>
    <comment ref="K61" authorId="0" shapeId="0" xr:uid="{5A653E29-8024-409F-820D-15308D69517C}">
      <text>
        <r>
          <rPr>
            <b/>
            <sz val="9"/>
            <color indexed="81"/>
            <rFont val="MS P ゴシック"/>
            <family val="3"/>
            <charset val="128"/>
          </rPr>
          <t>reigicad:</t>
        </r>
        <r>
          <rPr>
            <sz val="9"/>
            <color indexed="81"/>
            <rFont val="MS P ゴシック"/>
            <family val="3"/>
            <charset val="128"/>
          </rPr>
          <t xml:space="preserve">
外注15，000</t>
        </r>
      </text>
    </comment>
    <comment ref="K76" authorId="0" shapeId="0" xr:uid="{BA6AFDC6-2E8E-4477-A399-85D330AF8194}">
      <text>
        <r>
          <rPr>
            <b/>
            <sz val="9"/>
            <color indexed="81"/>
            <rFont val="MS P ゴシック"/>
            <family val="3"/>
            <charset val="128"/>
          </rPr>
          <t>reigicad:</t>
        </r>
        <r>
          <rPr>
            <sz val="9"/>
            <color indexed="81"/>
            <rFont val="MS P ゴシック"/>
            <family val="3"/>
            <charset val="128"/>
          </rPr>
          <t xml:space="preserve">
外注4,600円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reigicad</author>
  </authors>
  <commentList>
    <comment ref="J25" authorId="0" shapeId="0" xr:uid="{74194981-A6D6-43AD-922C-44641D9FE7AB}">
      <text>
        <r>
          <rPr>
            <b/>
            <sz val="9"/>
            <color indexed="81"/>
            <rFont val="MS P ゴシック"/>
            <family val="3"/>
            <charset val="128"/>
          </rPr>
          <t>reigicad:</t>
        </r>
        <r>
          <rPr>
            <sz val="9"/>
            <color indexed="81"/>
            <rFont val="MS P ゴシック"/>
            <family val="3"/>
            <charset val="128"/>
          </rPr>
          <t xml:space="preserve">
外注22，500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reigicad</author>
  </authors>
  <commentList>
    <comment ref="J4" authorId="0" shapeId="0" xr:uid="{A58E1AF1-675A-4B34-9F3D-4647FCD868EC}">
      <text>
        <r>
          <rPr>
            <b/>
            <sz val="9"/>
            <color indexed="81"/>
            <rFont val="MS P ゴシック"/>
            <family val="3"/>
            <charset val="128"/>
          </rPr>
          <t>reigicad:</t>
        </r>
        <r>
          <rPr>
            <sz val="9"/>
            <color indexed="81"/>
            <rFont val="MS P ゴシック"/>
            <family val="3"/>
            <charset val="128"/>
          </rPr>
          <t xml:space="preserve">
外注22，500
</t>
        </r>
      </text>
    </comment>
    <comment ref="J17" authorId="0" shapeId="0" xr:uid="{935629F7-E089-4E93-B1EB-F89D07AC0F83}">
      <text>
        <r>
          <rPr>
            <b/>
            <sz val="9"/>
            <color indexed="81"/>
            <rFont val="MS P ゴシック"/>
            <family val="3"/>
            <charset val="128"/>
          </rPr>
          <t>reigicad:</t>
        </r>
        <r>
          <rPr>
            <sz val="9"/>
            <color indexed="81"/>
            <rFont val="MS P ゴシック"/>
            <family val="3"/>
            <charset val="128"/>
          </rPr>
          <t xml:space="preserve">
外注15，000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reigicad</author>
  </authors>
  <commentList>
    <comment ref="J9" authorId="0" shapeId="0" xr:uid="{D88E5621-F01B-4886-8349-F0A41076DFBB}">
      <text>
        <r>
          <rPr>
            <b/>
            <sz val="9"/>
            <color indexed="81"/>
            <rFont val="MS P ゴシック"/>
            <family val="3"/>
            <charset val="128"/>
          </rPr>
          <t>reigicad:</t>
        </r>
        <r>
          <rPr>
            <sz val="9"/>
            <color indexed="81"/>
            <rFont val="MS P ゴシック"/>
            <family val="3"/>
            <charset val="128"/>
          </rPr>
          <t xml:space="preserve">
外注4,600円</t>
        </r>
      </text>
    </comment>
  </commentList>
</comments>
</file>

<file path=xl/sharedStrings.xml><?xml version="1.0" encoding="utf-8"?>
<sst xmlns="http://schemas.openxmlformats.org/spreadsheetml/2006/main" count="2692" uniqueCount="405">
  <si>
    <t>３D　プリンタ　製作記録表</t>
    <rPh sb="8" eb="10">
      <t>セイサク</t>
    </rPh>
    <rPh sb="10" eb="13">
      <t>キロクヒョウ</t>
    </rPh>
    <phoneticPr fontId="1"/>
  </si>
  <si>
    <t>製作日</t>
    <rPh sb="0" eb="3">
      <t>セイサクビ</t>
    </rPh>
    <phoneticPr fontId="1"/>
  </si>
  <si>
    <t>品名</t>
    <rPh sb="0" eb="2">
      <t>ヒンメイ</t>
    </rPh>
    <phoneticPr fontId="1"/>
  </si>
  <si>
    <t>製作時間</t>
    <rPh sb="0" eb="4">
      <t>セイサクジカン</t>
    </rPh>
    <phoneticPr fontId="1"/>
  </si>
  <si>
    <t>使用フィラメント</t>
    <rPh sb="0" eb="2">
      <t>シヨウ</t>
    </rPh>
    <phoneticPr fontId="1"/>
  </si>
  <si>
    <t>使用量</t>
    <rPh sb="0" eb="3">
      <t>シヨウリョウ</t>
    </rPh>
    <phoneticPr fontId="1"/>
  </si>
  <si>
    <t>区分</t>
    <rPh sb="0" eb="2">
      <t>クブン</t>
    </rPh>
    <phoneticPr fontId="1"/>
  </si>
  <si>
    <t>パンダ</t>
    <phoneticPr fontId="1"/>
  </si>
  <si>
    <t>テストプリント</t>
    <phoneticPr fontId="1"/>
  </si>
  <si>
    <t>カードノギス</t>
    <phoneticPr fontId="1"/>
  </si>
  <si>
    <t>針金高さ調整治具</t>
    <rPh sb="0" eb="3">
      <t>ハリガネタカ</t>
    </rPh>
    <rPh sb="4" eb="8">
      <t>チョウセイジグ</t>
    </rPh>
    <phoneticPr fontId="1"/>
  </si>
  <si>
    <t>ターミナルコモン4452-64-G506</t>
    <phoneticPr fontId="1"/>
  </si>
  <si>
    <t>UCパイプコネクタサンプル入れ</t>
    <rPh sb="13" eb="14">
      <t>イ</t>
    </rPh>
    <phoneticPr fontId="1"/>
  </si>
  <si>
    <t>冷鍛室からの依頼</t>
    <rPh sb="0" eb="2">
      <t>レイタン</t>
    </rPh>
    <rPh sb="2" eb="3">
      <t>シツ</t>
    </rPh>
    <rPh sb="6" eb="8">
      <t>イライ</t>
    </rPh>
    <phoneticPr fontId="1"/>
  </si>
  <si>
    <t>KM32コレットホルダー（ソコ）</t>
    <phoneticPr fontId="1"/>
  </si>
  <si>
    <t>工機室からの依頼</t>
    <rPh sb="0" eb="3">
      <t>コウキシツ</t>
    </rPh>
    <rPh sb="6" eb="8">
      <t>イライ</t>
    </rPh>
    <phoneticPr fontId="1"/>
  </si>
  <si>
    <t>KM32コレットホルダー（ウエ）</t>
    <phoneticPr fontId="1"/>
  </si>
  <si>
    <t>量産用治具</t>
    <rPh sb="0" eb="3">
      <t>リョウサンヨウ</t>
    </rPh>
    <rPh sb="3" eb="5">
      <t>ジグ</t>
    </rPh>
    <phoneticPr fontId="1"/>
  </si>
  <si>
    <t>KM32コレットホルダー（ピン）</t>
    <phoneticPr fontId="1"/>
  </si>
  <si>
    <t>製作者</t>
    <rPh sb="0" eb="3">
      <t>セイサクシャ</t>
    </rPh>
    <phoneticPr fontId="1"/>
  </si>
  <si>
    <t>コスト</t>
    <phoneticPr fontId="1"/>
  </si>
  <si>
    <t>電気代：0.5ｋW×30円/ｋWh＝15円/ｈ</t>
    <rPh sb="0" eb="3">
      <t>デンキダイ</t>
    </rPh>
    <rPh sb="12" eb="13">
      <t>エン</t>
    </rPh>
    <rPh sb="20" eb="21">
      <t>エン</t>
    </rPh>
    <phoneticPr fontId="1"/>
  </si>
  <si>
    <t>23 m</t>
    <phoneticPr fontId="1"/>
  </si>
  <si>
    <t>技用室トヨタバッテリー
向け端子由発の参考として</t>
    <rPh sb="0" eb="2">
      <t>ワザヨウ</t>
    </rPh>
    <rPh sb="2" eb="3">
      <t>シツ</t>
    </rPh>
    <rPh sb="12" eb="13">
      <t>ム</t>
    </rPh>
    <rPh sb="14" eb="16">
      <t>タンシ</t>
    </rPh>
    <rPh sb="16" eb="17">
      <t>ヨシ</t>
    </rPh>
    <rPh sb="17" eb="18">
      <t>ハツ</t>
    </rPh>
    <rPh sb="19" eb="21">
      <t>サンコウ</t>
    </rPh>
    <phoneticPr fontId="1"/>
  </si>
  <si>
    <t>30 m</t>
    <phoneticPr fontId="1"/>
  </si>
  <si>
    <t>52 m</t>
    <phoneticPr fontId="1"/>
  </si>
  <si>
    <t>1 h 3 m</t>
    <phoneticPr fontId="1"/>
  </si>
  <si>
    <t>45 m</t>
    <phoneticPr fontId="1"/>
  </si>
  <si>
    <t>35 m</t>
    <phoneticPr fontId="1"/>
  </si>
  <si>
    <t>24 m</t>
    <phoneticPr fontId="1"/>
  </si>
  <si>
    <t>7 h 46 m</t>
    <phoneticPr fontId="1"/>
  </si>
  <si>
    <t>3 h 8 m</t>
    <phoneticPr fontId="1"/>
  </si>
  <si>
    <t>3 h 25 m</t>
    <phoneticPr fontId="1"/>
  </si>
  <si>
    <t>1 h 54 m</t>
    <phoneticPr fontId="1"/>
  </si>
  <si>
    <t>トヨタバッテリー向け端子</t>
    <rPh sb="8" eb="9">
      <t>ム</t>
    </rPh>
    <rPh sb="10" eb="12">
      <t>タンシ</t>
    </rPh>
    <phoneticPr fontId="1"/>
  </si>
  <si>
    <t>試作</t>
    <rPh sb="0" eb="2">
      <t>シサク</t>
    </rPh>
    <phoneticPr fontId="1"/>
  </si>
  <si>
    <t>Sロボハンド爪</t>
    <rPh sb="6" eb="7">
      <t>ツメ</t>
    </rPh>
    <phoneticPr fontId="1"/>
  </si>
  <si>
    <t>Sロボハンド爪・改</t>
    <rPh sb="6" eb="7">
      <t>ツメ</t>
    </rPh>
    <rPh sb="8" eb="9">
      <t>アラタ</t>
    </rPh>
    <phoneticPr fontId="1"/>
  </si>
  <si>
    <t>見積図トヨタバッテリー向け封口板
1311-07-B182 (PLB40-0249A)</t>
    <rPh sb="0" eb="3">
      <t>ミツモリズ</t>
    </rPh>
    <rPh sb="11" eb="12">
      <t>ム</t>
    </rPh>
    <rPh sb="13" eb="14">
      <t>フウ</t>
    </rPh>
    <rPh sb="14" eb="15">
      <t>グチ</t>
    </rPh>
    <rPh sb="15" eb="16">
      <t>イタ</t>
    </rPh>
    <phoneticPr fontId="1"/>
  </si>
  <si>
    <t>トヨタバッテリー向け封口板</t>
    <rPh sb="8" eb="9">
      <t>ム</t>
    </rPh>
    <phoneticPr fontId="1"/>
  </si>
  <si>
    <t>M5ボルトナット</t>
    <phoneticPr fontId="1"/>
  </si>
  <si>
    <t>Training No.1 ブロック</t>
    <phoneticPr fontId="1"/>
  </si>
  <si>
    <t>GGS完成品ハンド爪</t>
    <rPh sb="3" eb="5">
      <t>カンセイ</t>
    </rPh>
    <rPh sb="9" eb="10">
      <t>ツメ</t>
    </rPh>
    <phoneticPr fontId="1"/>
  </si>
  <si>
    <t>GGSロックリング</t>
    <phoneticPr fontId="1"/>
  </si>
  <si>
    <t>GOT取付BOX</t>
    <rPh sb="3" eb="5">
      <t>トリツケ</t>
    </rPh>
    <phoneticPr fontId="1"/>
  </si>
  <si>
    <t>ツウドジッグ</t>
    <phoneticPr fontId="1"/>
  </si>
  <si>
    <t>パレタイザーチャック爪A,B</t>
    <rPh sb="10" eb="11">
      <t>ツメ</t>
    </rPh>
    <phoneticPr fontId="1"/>
  </si>
  <si>
    <t>2 h 30 m</t>
    <phoneticPr fontId="1"/>
  </si>
  <si>
    <t>5 h 14 m</t>
    <phoneticPr fontId="1"/>
  </si>
  <si>
    <t>1 h 14 m</t>
    <phoneticPr fontId="1"/>
  </si>
  <si>
    <t>依頼品</t>
    <rPh sb="0" eb="3">
      <t>イライヒン</t>
    </rPh>
    <phoneticPr fontId="1"/>
  </si>
  <si>
    <t>テストプリント
うまく成形できず。</t>
    <rPh sb="11" eb="13">
      <t>セイケイ</t>
    </rPh>
    <phoneticPr fontId="1"/>
  </si>
  <si>
    <t>テストプリント2回目
[条件変更]</t>
    <rPh sb="8" eb="10">
      <t>カイメ</t>
    </rPh>
    <rPh sb="12" eb="14">
      <t>ジョウケン</t>
    </rPh>
    <rPh sb="14" eb="16">
      <t>ヘンコウ</t>
    </rPh>
    <phoneticPr fontId="1"/>
  </si>
  <si>
    <t>3Dプリンター教育</t>
    <rPh sb="7" eb="9">
      <t>キョウイク</t>
    </rPh>
    <phoneticPr fontId="1"/>
  </si>
  <si>
    <t>搬送ハンドシサク</t>
    <rPh sb="0" eb="2">
      <t>ハンソウ</t>
    </rPh>
    <phoneticPr fontId="1"/>
  </si>
  <si>
    <t>シサク</t>
    <phoneticPr fontId="1"/>
  </si>
  <si>
    <t>搬送ハンド
シサク</t>
    <rPh sb="0" eb="2">
      <t>ハンソウ</t>
    </rPh>
    <phoneticPr fontId="1"/>
  </si>
  <si>
    <t>GGSステーシサク</t>
    <phoneticPr fontId="1"/>
  </si>
  <si>
    <t>GGSステー(上)シサク</t>
    <rPh sb="7" eb="8">
      <t>ウエ</t>
    </rPh>
    <phoneticPr fontId="1"/>
  </si>
  <si>
    <t>1 h 17 m</t>
    <phoneticPr fontId="1"/>
  </si>
  <si>
    <t>PLA</t>
  </si>
  <si>
    <t>[白]</t>
  </si>
  <si>
    <t>[白・黒]</t>
  </si>
  <si>
    <t>ABS</t>
  </si>
  <si>
    <t>[赤]</t>
  </si>
  <si>
    <t>[黒]</t>
  </si>
  <si>
    <t>PC</t>
  </si>
  <si>
    <t>PLA</t>
    <phoneticPr fontId="1"/>
  </si>
  <si>
    <t>ABS</t>
    <phoneticPr fontId="1"/>
  </si>
  <si>
    <t>PC</t>
    <phoneticPr fontId="1"/>
  </si>
  <si>
    <t>PET-CF</t>
    <phoneticPr fontId="1"/>
  </si>
  <si>
    <t>48 m</t>
    <phoneticPr fontId="1"/>
  </si>
  <si>
    <t>1 h 15 m</t>
    <phoneticPr fontId="1"/>
  </si>
  <si>
    <t>20 m</t>
    <phoneticPr fontId="1"/>
  </si>
  <si>
    <t>57 m</t>
    <phoneticPr fontId="1"/>
  </si>
  <si>
    <t>8 h 18 m</t>
    <phoneticPr fontId="1"/>
  </si>
  <si>
    <t>7 h 23 m</t>
    <phoneticPr fontId="1"/>
  </si>
  <si>
    <t>2 h 1 m</t>
    <phoneticPr fontId="1"/>
  </si>
  <si>
    <t>2 h 52 m</t>
    <phoneticPr fontId="1"/>
  </si>
  <si>
    <t xml:space="preserve">1 h 5 m </t>
    <phoneticPr fontId="1"/>
  </si>
  <si>
    <t>42 m</t>
    <phoneticPr fontId="1"/>
  </si>
  <si>
    <t>テスト</t>
    <phoneticPr fontId="1"/>
  </si>
  <si>
    <t>高松</t>
    <rPh sb="0" eb="2">
      <t>タカマツ</t>
    </rPh>
    <phoneticPr fontId="1"/>
  </si>
  <si>
    <t>レイセイ
依頼品</t>
    <rPh sb="5" eb="8">
      <t>イライヒン</t>
    </rPh>
    <phoneticPr fontId="1"/>
  </si>
  <si>
    <t>鶴薗</t>
    <rPh sb="0" eb="2">
      <t>ツルゾノ</t>
    </rPh>
    <phoneticPr fontId="1"/>
  </si>
  <si>
    <t>34 m</t>
    <phoneticPr fontId="1"/>
  </si>
  <si>
    <t>PET-CF</t>
  </si>
  <si>
    <t>18 m</t>
    <phoneticPr fontId="1"/>
  </si>
  <si>
    <t>14 m</t>
    <phoneticPr fontId="1"/>
  </si>
  <si>
    <t>1 h 51 m</t>
    <phoneticPr fontId="1"/>
  </si>
  <si>
    <t>1 h 5 m</t>
    <phoneticPr fontId="1"/>
  </si>
  <si>
    <t>2 h 38 m</t>
    <phoneticPr fontId="1"/>
  </si>
  <si>
    <t>18 h 25 m</t>
    <phoneticPr fontId="1"/>
  </si>
  <si>
    <t>25 m</t>
    <phoneticPr fontId="1"/>
  </si>
  <si>
    <t>39 m</t>
    <phoneticPr fontId="1"/>
  </si>
  <si>
    <t>9 h 14 m</t>
    <phoneticPr fontId="1"/>
  </si>
  <si>
    <t>11 h 41 m</t>
    <phoneticPr fontId="1"/>
  </si>
  <si>
    <t>19 m</t>
    <phoneticPr fontId="1"/>
  </si>
  <si>
    <t>2 h 20 m</t>
    <phoneticPr fontId="1"/>
  </si>
  <si>
    <t>3 h 42 m</t>
    <phoneticPr fontId="1"/>
  </si>
  <si>
    <t>29 m</t>
    <phoneticPr fontId="1"/>
  </si>
  <si>
    <t>2 h 11 m</t>
    <phoneticPr fontId="1"/>
  </si>
  <si>
    <t>2 h 18 m</t>
    <phoneticPr fontId="1"/>
  </si>
  <si>
    <t>[青]</t>
  </si>
  <si>
    <t>[青・黒]</t>
  </si>
  <si>
    <t>[オレンジ]</t>
  </si>
  <si>
    <t>[青・白]</t>
  </si>
  <si>
    <t>中間端子 Al・Cu</t>
    <rPh sb="0" eb="1">
      <t>チュウ</t>
    </rPh>
    <rPh sb="1" eb="4">
      <t>カンタンシ</t>
    </rPh>
    <phoneticPr fontId="1"/>
  </si>
  <si>
    <t>中間端子 Al</t>
    <rPh sb="0" eb="1">
      <t>チュウ</t>
    </rPh>
    <rPh sb="1" eb="4">
      <t>カンタンシ</t>
    </rPh>
    <phoneticPr fontId="1"/>
  </si>
  <si>
    <t>中間端子 Cu</t>
    <rPh sb="0" eb="1">
      <t>チュウ</t>
    </rPh>
    <rPh sb="1" eb="4">
      <t>カンタンシ</t>
    </rPh>
    <phoneticPr fontId="1"/>
  </si>
  <si>
    <t>マイクロスコープ用</t>
    <rPh sb="8" eb="9">
      <t>ヨウ</t>
    </rPh>
    <phoneticPr fontId="1"/>
  </si>
  <si>
    <t>材料保持</t>
    <rPh sb="0" eb="2">
      <t>ザイリョウ</t>
    </rPh>
    <rPh sb="2" eb="4">
      <t>ホジ</t>
    </rPh>
    <phoneticPr fontId="1"/>
  </si>
  <si>
    <t>GGS</t>
    <phoneticPr fontId="1"/>
  </si>
  <si>
    <t>スプール</t>
    <phoneticPr fontId="1"/>
  </si>
  <si>
    <t>スプール①</t>
    <phoneticPr fontId="1"/>
  </si>
  <si>
    <t>スプール②</t>
    <phoneticPr fontId="1"/>
  </si>
  <si>
    <t>WOショートトレイ</t>
    <phoneticPr fontId="1"/>
  </si>
  <si>
    <t>LEDコントローラーホルダー</t>
    <phoneticPr fontId="1"/>
  </si>
  <si>
    <t>UCパイプコネトレイ</t>
    <phoneticPr fontId="1"/>
  </si>
  <si>
    <t>NGサンプルトレイ</t>
    <phoneticPr fontId="1"/>
  </si>
  <si>
    <t>65Dサンプルセットジグ</t>
    <phoneticPr fontId="1"/>
  </si>
  <si>
    <t>ケーブルキャリア</t>
    <phoneticPr fontId="1"/>
  </si>
  <si>
    <t>シートバルブ爪シサク</t>
    <phoneticPr fontId="1"/>
  </si>
  <si>
    <t>設備、プレート</t>
    <rPh sb="0" eb="2">
      <t>セツビ</t>
    </rPh>
    <phoneticPr fontId="1"/>
  </si>
  <si>
    <t>GGSハンド爪</t>
    <rPh sb="6" eb="7">
      <t>ツメ</t>
    </rPh>
    <phoneticPr fontId="1"/>
  </si>
  <si>
    <t>AS見積ターミナル</t>
    <rPh sb="2" eb="4">
      <t>ミツモリ</t>
    </rPh>
    <phoneticPr fontId="1"/>
  </si>
  <si>
    <t>GGSハンド爪 A</t>
    <rPh sb="6" eb="7">
      <t>ツメ</t>
    </rPh>
    <phoneticPr fontId="1"/>
  </si>
  <si>
    <t>GGSハンド爪 上</t>
    <rPh sb="6" eb="7">
      <t>ツメ</t>
    </rPh>
    <rPh sb="8" eb="9">
      <t>ウエ</t>
    </rPh>
    <phoneticPr fontId="1"/>
  </si>
  <si>
    <t>中</t>
    <rPh sb="0" eb="1">
      <t>ナカ</t>
    </rPh>
    <phoneticPr fontId="1"/>
  </si>
  <si>
    <t>北里</t>
    <rPh sb="0" eb="2">
      <t>キタサト</t>
    </rPh>
    <phoneticPr fontId="1"/>
  </si>
  <si>
    <t>尿素検査機用</t>
    <rPh sb="0" eb="2">
      <t>ニョウソ</t>
    </rPh>
    <rPh sb="2" eb="5">
      <t>ケンサキ</t>
    </rPh>
    <rPh sb="5" eb="6">
      <t>ヨウ</t>
    </rPh>
    <phoneticPr fontId="1"/>
  </si>
  <si>
    <t>正式前シサク</t>
    <rPh sb="0" eb="2">
      <t>セイシキ</t>
    </rPh>
    <rPh sb="2" eb="3">
      <t>マエ</t>
    </rPh>
    <phoneticPr fontId="1"/>
  </si>
  <si>
    <t>3 h 33 m</t>
    <phoneticPr fontId="1"/>
  </si>
  <si>
    <t xml:space="preserve">5 h 48 m </t>
    <phoneticPr fontId="1"/>
  </si>
  <si>
    <t>2 h 15 m</t>
    <phoneticPr fontId="1"/>
  </si>
  <si>
    <t>1 h 57 m</t>
    <phoneticPr fontId="1"/>
  </si>
  <si>
    <t>1 h 33 m</t>
    <phoneticPr fontId="1"/>
  </si>
  <si>
    <t>36 m</t>
    <phoneticPr fontId="1"/>
  </si>
  <si>
    <t>1 h 36 m</t>
    <phoneticPr fontId="1"/>
  </si>
  <si>
    <t>5 h 41 m</t>
    <phoneticPr fontId="1"/>
  </si>
  <si>
    <t>製品箱</t>
    <rPh sb="0" eb="3">
      <t>セイヒンハコ</t>
    </rPh>
    <phoneticPr fontId="1"/>
  </si>
  <si>
    <t>4327-13BJ0
センサーコネクタBOX</t>
    <phoneticPr fontId="1"/>
  </si>
  <si>
    <t>21700正テストver.2</t>
    <rPh sb="5" eb="6">
      <t>セイ</t>
    </rPh>
    <phoneticPr fontId="1"/>
  </si>
  <si>
    <t>ホースバンド</t>
    <phoneticPr fontId="1"/>
  </si>
  <si>
    <t>21700正テスト</t>
    <rPh sb="5" eb="6">
      <t>セイ</t>
    </rPh>
    <phoneticPr fontId="1"/>
  </si>
  <si>
    <t>バルブスロットル</t>
    <phoneticPr fontId="1"/>
  </si>
  <si>
    <t>北里</t>
    <phoneticPr fontId="1"/>
  </si>
  <si>
    <t>PRP-23
カス通過アンプBOX</t>
    <phoneticPr fontId="1"/>
  </si>
  <si>
    <t>PRP-23
カス通過アンプフタ</t>
    <phoneticPr fontId="1"/>
  </si>
  <si>
    <t>5 h 39 m</t>
    <phoneticPr fontId="1"/>
  </si>
  <si>
    <t>1 h 49 m</t>
    <phoneticPr fontId="1"/>
  </si>
  <si>
    <t>1 h 10 m</t>
    <phoneticPr fontId="1"/>
  </si>
  <si>
    <t>5 h 8 m</t>
    <phoneticPr fontId="1"/>
  </si>
  <si>
    <t>2 h 37 m</t>
    <phoneticPr fontId="1"/>
  </si>
  <si>
    <t>1 h 11 m</t>
    <phoneticPr fontId="1"/>
  </si>
  <si>
    <t>3 h 37 m</t>
    <phoneticPr fontId="1"/>
  </si>
  <si>
    <t>1 h 24 m</t>
    <phoneticPr fontId="1"/>
  </si>
  <si>
    <t>1 h 38 m</t>
    <phoneticPr fontId="1"/>
  </si>
  <si>
    <t>40 m</t>
    <phoneticPr fontId="1"/>
  </si>
  <si>
    <t>7 h 12 m</t>
    <phoneticPr fontId="1"/>
  </si>
  <si>
    <t xml:space="preserve">3 h 13 m </t>
    <phoneticPr fontId="1"/>
  </si>
  <si>
    <t>6 h 40 m</t>
    <phoneticPr fontId="1"/>
  </si>
  <si>
    <t>9 h 15 m</t>
    <phoneticPr fontId="1"/>
  </si>
  <si>
    <t>トータル</t>
    <phoneticPr fontId="1"/>
  </si>
  <si>
    <t>生管製品箱</t>
    <rPh sb="0" eb="1">
      <t>セイ</t>
    </rPh>
    <rPh sb="1" eb="2">
      <t>カン</t>
    </rPh>
    <rPh sb="2" eb="4">
      <t>セイヒン</t>
    </rPh>
    <rPh sb="4" eb="5">
      <t>バコ</t>
    </rPh>
    <phoneticPr fontId="1"/>
  </si>
  <si>
    <t>レイセイ
依頼品</t>
    <phoneticPr fontId="1"/>
  </si>
  <si>
    <t>生管依頼</t>
    <rPh sb="2" eb="4">
      <t>イライ</t>
    </rPh>
    <phoneticPr fontId="1"/>
  </si>
  <si>
    <t>製造依頼</t>
    <rPh sb="0" eb="2">
      <t>セイゾウ</t>
    </rPh>
    <rPh sb="2" eb="4">
      <t>イライ</t>
    </rPh>
    <phoneticPr fontId="1"/>
  </si>
  <si>
    <t>林</t>
    <rPh sb="0" eb="1">
      <t>ハヤシ</t>
    </rPh>
    <phoneticPr fontId="1"/>
  </si>
  <si>
    <t>冷鍛室</t>
  </si>
  <si>
    <t>HAパイプ入りガイド</t>
    <rPh sb="5" eb="6">
      <t>ハイ</t>
    </rPh>
    <phoneticPr fontId="1"/>
  </si>
  <si>
    <t>WOショートサンプルトレイ</t>
    <phoneticPr fontId="1"/>
  </si>
  <si>
    <t xml:space="preserve">NG Box </t>
    <phoneticPr fontId="1"/>
  </si>
  <si>
    <t>NG項目プレート</t>
    <rPh sb="2" eb="4">
      <t>コウモク</t>
    </rPh>
    <phoneticPr fontId="1"/>
  </si>
  <si>
    <t>ストッカ</t>
    <phoneticPr fontId="1"/>
  </si>
  <si>
    <t>1734-5712-00
センサーコネクタ Box+　フタ</t>
    <phoneticPr fontId="1"/>
  </si>
  <si>
    <t>1734-5712-00センサーコネクタ 
Box+フタ(レイアウトミス)</t>
    <phoneticPr fontId="1"/>
  </si>
  <si>
    <t>針金通し箱</t>
    <rPh sb="4" eb="5">
      <t>ハコ</t>
    </rPh>
    <phoneticPr fontId="1"/>
  </si>
  <si>
    <t>ホースバンド検討</t>
    <rPh sb="6" eb="8">
      <t>ケントウ</t>
    </rPh>
    <phoneticPr fontId="1"/>
  </si>
  <si>
    <t>工機課プレート</t>
    <rPh sb="0" eb="3">
      <t>コウキカ</t>
    </rPh>
    <phoneticPr fontId="1"/>
  </si>
  <si>
    <t>鶴薗</t>
  </si>
  <si>
    <t>↑</t>
    <phoneticPr fontId="1"/>
  </si>
  <si>
    <t>P-製造</t>
    <rPh sb="2" eb="4">
      <t>セイゾウ</t>
    </rPh>
    <phoneticPr fontId="1"/>
  </si>
  <si>
    <t>工機課依頼</t>
    <rPh sb="0" eb="3">
      <t>コウキカ</t>
    </rPh>
    <rPh sb="3" eb="5">
      <t>イライ</t>
    </rPh>
    <phoneticPr fontId="1"/>
  </si>
  <si>
    <t>製造依頼</t>
    <rPh sb="0" eb="4">
      <t>セイゾウイライ</t>
    </rPh>
    <phoneticPr fontId="1"/>
  </si>
  <si>
    <t>生管依頼</t>
    <rPh sb="0" eb="4">
      <t>セイカンイライ</t>
    </rPh>
    <phoneticPr fontId="1"/>
  </si>
  <si>
    <t>3Dプリンター
検証、打合せ用</t>
    <rPh sb="8" eb="10">
      <t>ケンショウ</t>
    </rPh>
    <rPh sb="11" eb="12">
      <t>ウ</t>
    </rPh>
    <rPh sb="12" eb="13">
      <t>ア</t>
    </rPh>
    <rPh sb="14" eb="15">
      <t>ヨウ</t>
    </rPh>
    <phoneticPr fontId="1"/>
  </si>
  <si>
    <t>サンプル</t>
    <phoneticPr fontId="1"/>
  </si>
  <si>
    <t>検査装置ストッカ台</t>
    <rPh sb="0" eb="4">
      <t>ケンサソウチ</t>
    </rPh>
    <rPh sb="8" eb="9">
      <t>ダイ</t>
    </rPh>
    <phoneticPr fontId="1"/>
  </si>
  <si>
    <t>チャック｜A,B</t>
    <phoneticPr fontId="1"/>
  </si>
  <si>
    <t>M5×６ボルト</t>
    <phoneticPr fontId="1"/>
  </si>
  <si>
    <t>圧力監視ケース</t>
    <rPh sb="0" eb="4">
      <t>アツリョクカンシ</t>
    </rPh>
    <phoneticPr fontId="1"/>
  </si>
  <si>
    <t>65D圧力監視</t>
    <rPh sb="3" eb="7">
      <t>アツリョクカンシ</t>
    </rPh>
    <phoneticPr fontId="1"/>
  </si>
  <si>
    <t>鶴薗</t>
    <phoneticPr fontId="1"/>
  </si>
  <si>
    <t>M5ワッシャ</t>
    <phoneticPr fontId="1"/>
  </si>
  <si>
    <t>制御ボックス</t>
    <rPh sb="0" eb="2">
      <t>セイギョ</t>
    </rPh>
    <phoneticPr fontId="1"/>
  </si>
  <si>
    <t>9h 58m</t>
    <phoneticPr fontId="1"/>
  </si>
  <si>
    <t>65D用</t>
    <rPh sb="3" eb="4">
      <t>ヨウ</t>
    </rPh>
    <phoneticPr fontId="1"/>
  </si>
  <si>
    <t>24M製品モデル</t>
    <rPh sb="3" eb="5">
      <t>セイヒン</t>
    </rPh>
    <phoneticPr fontId="1"/>
  </si>
  <si>
    <t>1h 28 m</t>
    <phoneticPr fontId="1"/>
  </si>
  <si>
    <t>検討用</t>
    <rPh sb="0" eb="3">
      <t>ケントウヨウ</t>
    </rPh>
    <phoneticPr fontId="1"/>
  </si>
  <si>
    <t>2h 38 m</t>
    <phoneticPr fontId="1"/>
  </si>
  <si>
    <t>効果</t>
    <rPh sb="0" eb="2">
      <t>コウカ</t>
    </rPh>
    <phoneticPr fontId="1"/>
  </si>
  <si>
    <t>圧力監視フタ</t>
    <rPh sb="0" eb="4">
      <t>アツリョクカンシ</t>
    </rPh>
    <phoneticPr fontId="1"/>
  </si>
  <si>
    <t>56 m</t>
    <phoneticPr fontId="1"/>
  </si>
  <si>
    <t>蓄光テスト</t>
    <rPh sb="0" eb="2">
      <t>チクコウ</t>
    </rPh>
    <phoneticPr fontId="1"/>
  </si>
  <si>
    <t>1h 52 m</t>
    <phoneticPr fontId="1"/>
  </si>
  <si>
    <t>トヨタ車体ギヤ検討</t>
    <rPh sb="3" eb="5">
      <t>シャタイ</t>
    </rPh>
    <rPh sb="7" eb="9">
      <t>ケントウ</t>
    </rPh>
    <phoneticPr fontId="1"/>
  </si>
  <si>
    <t>加工検討用</t>
    <rPh sb="0" eb="4">
      <t>カコウケントウ</t>
    </rPh>
    <rPh sb="4" eb="5">
      <t>ヨウ</t>
    </rPh>
    <phoneticPr fontId="1"/>
  </si>
  <si>
    <t>効果金額</t>
    <rPh sb="0" eb="4">
      <t>コウカキンガク</t>
    </rPh>
    <phoneticPr fontId="1"/>
  </si>
  <si>
    <t>改善</t>
    <rPh sb="0" eb="2">
      <t>カイゼン</t>
    </rPh>
    <phoneticPr fontId="1"/>
  </si>
  <si>
    <t>品質</t>
    <rPh sb="0" eb="2">
      <t>ヒンシツ</t>
    </rPh>
    <phoneticPr fontId="1"/>
  </si>
  <si>
    <t>検討品</t>
    <rPh sb="0" eb="2">
      <t>ケントウ</t>
    </rPh>
    <rPh sb="2" eb="3">
      <t>ヒン</t>
    </rPh>
    <phoneticPr fontId="1"/>
  </si>
  <si>
    <t>検討品</t>
    <rPh sb="0" eb="3">
      <t>ケントウヒン</t>
    </rPh>
    <phoneticPr fontId="1"/>
  </si>
  <si>
    <t>内製化</t>
    <rPh sb="0" eb="3">
      <t>ナイセイカ</t>
    </rPh>
    <phoneticPr fontId="1"/>
  </si>
  <si>
    <t>冷鍛</t>
    <rPh sb="0" eb="2">
      <t>レイタン</t>
    </rPh>
    <phoneticPr fontId="1"/>
  </si>
  <si>
    <t>技術</t>
    <rPh sb="0" eb="2">
      <t>ギジュツ</t>
    </rPh>
    <phoneticPr fontId="1"/>
  </si>
  <si>
    <t>生管</t>
    <rPh sb="0" eb="2">
      <t>セイカン</t>
    </rPh>
    <phoneticPr fontId="1"/>
  </si>
  <si>
    <t>プレス</t>
    <phoneticPr fontId="1"/>
  </si>
  <si>
    <t>工機</t>
    <rPh sb="0" eb="2">
      <t>コウキ</t>
    </rPh>
    <phoneticPr fontId="1"/>
  </si>
  <si>
    <t>合計</t>
    <rPh sb="0" eb="2">
      <t>ゴウケイ</t>
    </rPh>
    <phoneticPr fontId="1"/>
  </si>
  <si>
    <t>[白・黒・青]</t>
  </si>
  <si>
    <t>北里</t>
    <rPh sb="0" eb="2">
      <t>キタザト</t>
    </rPh>
    <phoneticPr fontId="1"/>
  </si>
  <si>
    <t>1 h 42 m</t>
    <phoneticPr fontId="1"/>
  </si>
  <si>
    <t>3 h 14 m</t>
    <phoneticPr fontId="1"/>
  </si>
  <si>
    <t>4 h 32 m</t>
    <phoneticPr fontId="1"/>
  </si>
  <si>
    <t>テストプリント加工</t>
    <rPh sb="7" eb="9">
      <t>カコウ</t>
    </rPh>
    <phoneticPr fontId="1"/>
  </si>
  <si>
    <t>3 h 34 m</t>
    <phoneticPr fontId="1"/>
  </si>
  <si>
    <t>スタンド</t>
    <phoneticPr fontId="1"/>
  </si>
  <si>
    <t xml:space="preserve">Clamp </t>
    <phoneticPr fontId="1"/>
  </si>
  <si>
    <t>プレゼン用</t>
  </si>
  <si>
    <t>キーボードスタンド</t>
    <phoneticPr fontId="1"/>
  </si>
  <si>
    <t>1 h 35 m</t>
    <phoneticPr fontId="1"/>
  </si>
  <si>
    <t>6 m</t>
    <phoneticPr fontId="1"/>
  </si>
  <si>
    <t>1 h 1 m</t>
    <phoneticPr fontId="1"/>
  </si>
  <si>
    <t>1 h 39 m</t>
    <phoneticPr fontId="1"/>
  </si>
  <si>
    <t>1 h 18 m</t>
    <phoneticPr fontId="1"/>
  </si>
  <si>
    <t>1 h 16 m</t>
    <phoneticPr fontId="1"/>
  </si>
  <si>
    <t>1 h 52 m</t>
    <phoneticPr fontId="1"/>
  </si>
  <si>
    <t>6 h 28 m</t>
    <phoneticPr fontId="1"/>
  </si>
  <si>
    <t>3 h 0 m</t>
    <phoneticPr fontId="1"/>
  </si>
  <si>
    <t>1 h 23 m</t>
    <phoneticPr fontId="1"/>
  </si>
  <si>
    <t xml:space="preserve">1 h 23 m </t>
    <phoneticPr fontId="1"/>
  </si>
  <si>
    <t>1 h 2 m</t>
    <phoneticPr fontId="1"/>
  </si>
  <si>
    <t>12 h 48 m</t>
    <phoneticPr fontId="1"/>
  </si>
  <si>
    <t>24M製品</t>
    <phoneticPr fontId="1"/>
  </si>
  <si>
    <t>[紫]</t>
    <rPh sb="1" eb="2">
      <t>ムラサキ</t>
    </rPh>
    <phoneticPr fontId="1"/>
  </si>
  <si>
    <t>65D</t>
    <phoneticPr fontId="1"/>
  </si>
  <si>
    <t>銘板</t>
    <rPh sb="0" eb="2">
      <t>メイバン</t>
    </rPh>
    <phoneticPr fontId="1"/>
  </si>
  <si>
    <t>65D デテックタ　
色分けφ6ｘ0.4　２個</t>
    <rPh sb="11" eb="13">
      <t>イロワ</t>
    </rPh>
    <rPh sb="22" eb="23">
      <t>コ</t>
    </rPh>
    <phoneticPr fontId="1"/>
  </si>
  <si>
    <t>↑　6個</t>
    <rPh sb="3" eb="4">
      <t>コ</t>
    </rPh>
    <phoneticPr fontId="1"/>
  </si>
  <si>
    <t>取って</t>
    <rPh sb="0" eb="1">
      <t>ト</t>
    </rPh>
    <phoneticPr fontId="1"/>
  </si>
  <si>
    <t>ユらキ</t>
    <phoneticPr fontId="1"/>
  </si>
  <si>
    <t>PRP-43
ボルスター溝埋めるアルミフレームカバー</t>
    <phoneticPr fontId="1"/>
  </si>
  <si>
    <t>林シュートパイプ</t>
    <rPh sb="0" eb="1">
      <t>ハヤシ</t>
    </rPh>
    <phoneticPr fontId="1"/>
  </si>
  <si>
    <t>ジグ</t>
    <phoneticPr fontId="1"/>
  </si>
  <si>
    <t>通止めカバー</t>
    <phoneticPr fontId="1"/>
  </si>
  <si>
    <t>林シュート</t>
    <rPh sb="0" eb="1">
      <t>ハヤシ</t>
    </rPh>
    <phoneticPr fontId="1"/>
  </si>
  <si>
    <t>プレサブ製品箱中じき</t>
    <phoneticPr fontId="1"/>
  </si>
  <si>
    <t>NG品保管トレイ
表示版</t>
    <rPh sb="2" eb="3">
      <t>ヒン</t>
    </rPh>
    <rPh sb="3" eb="5">
      <t>ホカン</t>
    </rPh>
    <rPh sb="9" eb="12">
      <t>ヒョウジバン</t>
    </rPh>
    <phoneticPr fontId="1"/>
  </si>
  <si>
    <t>冷鍛改善</t>
    <rPh sb="0" eb="2">
      <t>レイタン</t>
    </rPh>
    <rPh sb="2" eb="4">
      <t>カイゼン</t>
    </rPh>
    <phoneticPr fontId="1"/>
  </si>
  <si>
    <t>パレタイズチャック爪</t>
    <rPh sb="9" eb="10">
      <t>ツメ</t>
    </rPh>
    <phoneticPr fontId="1"/>
  </si>
  <si>
    <t>改善[工機]</t>
    <rPh sb="0" eb="2">
      <t>カイゼン</t>
    </rPh>
    <rPh sb="3" eb="5">
      <t>コウキ</t>
    </rPh>
    <phoneticPr fontId="1"/>
  </si>
  <si>
    <t>品質、冷鍛</t>
    <rPh sb="0" eb="2">
      <t>ヒンシツ</t>
    </rPh>
    <rPh sb="3" eb="5">
      <t>レイタン</t>
    </rPh>
    <phoneticPr fontId="1"/>
  </si>
  <si>
    <t>改善[プレス室]</t>
    <rPh sb="0" eb="2">
      <t>カイゼン</t>
    </rPh>
    <rPh sb="6" eb="7">
      <t>シツ</t>
    </rPh>
    <phoneticPr fontId="1"/>
  </si>
  <si>
    <t>内製</t>
    <rPh sb="0" eb="2">
      <t>ナイセイ</t>
    </rPh>
    <phoneticPr fontId="1"/>
  </si>
  <si>
    <t>PPA-CF</t>
    <phoneticPr fontId="1"/>
  </si>
  <si>
    <t>樹脂カスシュート</t>
    <rPh sb="0" eb="2">
      <t>ジュシ</t>
    </rPh>
    <phoneticPr fontId="1"/>
  </si>
  <si>
    <t xml:space="preserve">NG品保管トレイ
</t>
    <rPh sb="2" eb="3">
      <t>ヒン</t>
    </rPh>
    <rPh sb="3" eb="5">
      <t>ホカン</t>
    </rPh>
    <phoneticPr fontId="1"/>
  </si>
  <si>
    <t>ノズルホルダ</t>
    <phoneticPr fontId="1"/>
  </si>
  <si>
    <t>Z軸クリーナー</t>
    <rPh sb="1" eb="2">
      <t>ジク</t>
    </rPh>
    <phoneticPr fontId="1"/>
  </si>
  <si>
    <t>STAND</t>
    <phoneticPr fontId="1"/>
  </si>
  <si>
    <t>2025/11/28
2025/12/1</t>
    <phoneticPr fontId="1"/>
  </si>
  <si>
    <t>2 h 34 m</t>
    <phoneticPr fontId="1"/>
  </si>
  <si>
    <t>1 h 41 m</t>
    <phoneticPr fontId="1"/>
  </si>
  <si>
    <t>21 m</t>
    <phoneticPr fontId="1"/>
  </si>
  <si>
    <t>8 m</t>
    <phoneticPr fontId="1"/>
  </si>
  <si>
    <t>27 m</t>
    <phoneticPr fontId="1"/>
  </si>
  <si>
    <t>12 m</t>
    <phoneticPr fontId="1"/>
  </si>
  <si>
    <t>15 m</t>
    <phoneticPr fontId="1"/>
  </si>
  <si>
    <t>7 m</t>
    <phoneticPr fontId="1"/>
  </si>
  <si>
    <t>9 m</t>
    <phoneticPr fontId="1"/>
  </si>
  <si>
    <t>3 h 10 m</t>
    <phoneticPr fontId="1"/>
  </si>
  <si>
    <t>49 m</t>
    <phoneticPr fontId="1"/>
  </si>
  <si>
    <t>1 h 53 m</t>
    <phoneticPr fontId="1"/>
  </si>
  <si>
    <t>1 h 27 m</t>
    <phoneticPr fontId="1"/>
  </si>
  <si>
    <t>54 m</t>
    <phoneticPr fontId="1"/>
  </si>
  <si>
    <t>3 h 17 m</t>
    <phoneticPr fontId="1"/>
  </si>
  <si>
    <t>1 h 59 m</t>
    <phoneticPr fontId="1"/>
  </si>
  <si>
    <t>37 m</t>
    <phoneticPr fontId="1"/>
  </si>
  <si>
    <t>38 m</t>
    <phoneticPr fontId="1"/>
  </si>
  <si>
    <t>16 m</t>
    <phoneticPr fontId="1"/>
  </si>
  <si>
    <t>28 m</t>
    <phoneticPr fontId="1"/>
  </si>
  <si>
    <t>31 m</t>
    <phoneticPr fontId="1"/>
  </si>
  <si>
    <t>1 h 21 m</t>
    <phoneticPr fontId="1"/>
  </si>
  <si>
    <t>33 m</t>
    <phoneticPr fontId="1"/>
  </si>
  <si>
    <t>[白・黒・青]</t>
    <rPh sb="1" eb="2">
      <t>シロ</t>
    </rPh>
    <rPh sb="3" eb="4">
      <t>クロ</t>
    </rPh>
    <rPh sb="5" eb="6">
      <t>アオ</t>
    </rPh>
    <phoneticPr fontId="1"/>
  </si>
  <si>
    <t>65 D</t>
    <phoneticPr fontId="1"/>
  </si>
  <si>
    <t>長谷川</t>
    <rPh sb="0" eb="3">
      <t>ハセガワ</t>
    </rPh>
    <phoneticPr fontId="1"/>
  </si>
  <si>
    <t>冷鍛</t>
    <rPh sb="0" eb="2">
      <t>レイタンタン</t>
    </rPh>
    <phoneticPr fontId="1"/>
  </si>
  <si>
    <t>改善[プレス]</t>
    <rPh sb="0" eb="2">
      <t>カイゼン</t>
    </rPh>
    <phoneticPr fontId="1"/>
  </si>
  <si>
    <t>プレサブ製品箱中じき</t>
    <rPh sb="4" eb="7">
      <t>セイヒンバコ</t>
    </rPh>
    <rPh sb="7" eb="8">
      <t>ナカ</t>
    </rPh>
    <phoneticPr fontId="1"/>
  </si>
  <si>
    <t>トヨタ車体ギア</t>
    <rPh sb="3" eb="5">
      <t>シャタイ</t>
    </rPh>
    <phoneticPr fontId="1"/>
  </si>
  <si>
    <t>65 D 銘板 (23K - 002)
　　　　  (25K - 010)</t>
    <rPh sb="5" eb="7">
      <t>メイバン</t>
    </rPh>
    <phoneticPr fontId="1"/>
  </si>
  <si>
    <t>65D
銘板 x7</t>
    <phoneticPr fontId="1"/>
  </si>
  <si>
    <t>65D
銘板 x3</t>
    <phoneticPr fontId="1"/>
  </si>
  <si>
    <t>ブロック</t>
    <phoneticPr fontId="1"/>
  </si>
  <si>
    <t>NGトレイ表示</t>
    <rPh sb="5" eb="7">
      <t>ヒョウジ</t>
    </rPh>
    <phoneticPr fontId="1"/>
  </si>
  <si>
    <t>オムロン
セーフティドアスイッチキー x3</t>
    <phoneticPr fontId="1"/>
  </si>
  <si>
    <t>65D
銘板 (65D.D.H)</t>
    <phoneticPr fontId="1"/>
  </si>
  <si>
    <t>65D
銘板 (25K-010)</t>
    <phoneticPr fontId="1"/>
  </si>
  <si>
    <t>針金通し</t>
    <rPh sb="0" eb="3">
      <t>ハリガネトオ</t>
    </rPh>
    <phoneticPr fontId="1"/>
  </si>
  <si>
    <t>銘板 x2</t>
    <rPh sb="0" eb="2">
      <t>メイバン</t>
    </rPh>
    <phoneticPr fontId="1"/>
  </si>
  <si>
    <t xml:space="preserve">オムロン
セーフティドアスイッチキー </t>
    <phoneticPr fontId="1"/>
  </si>
  <si>
    <t>エアブローノズル</t>
    <phoneticPr fontId="1"/>
  </si>
  <si>
    <t>エアガンノズル</t>
    <phoneticPr fontId="1"/>
  </si>
  <si>
    <t>Vブロック</t>
    <phoneticPr fontId="1"/>
  </si>
  <si>
    <t>取ってハンドル</t>
    <rPh sb="0" eb="1">
      <t>ト</t>
    </rPh>
    <phoneticPr fontId="1"/>
  </si>
  <si>
    <t>65D デテクタ色分け φ6x10⁴ 2個</t>
    <rPh sb="8" eb="9">
      <t>イロ</t>
    </rPh>
    <rPh sb="9" eb="10">
      <t>ワ</t>
    </rPh>
    <rPh sb="20" eb="21">
      <t>コ</t>
    </rPh>
    <phoneticPr fontId="1"/>
  </si>
  <si>
    <t>フィルターホルダー</t>
    <phoneticPr fontId="1"/>
  </si>
  <si>
    <t>取ってハンドル 2</t>
    <rPh sb="0" eb="1">
      <t>ト</t>
    </rPh>
    <phoneticPr fontId="1"/>
  </si>
  <si>
    <t>ジグカバー</t>
    <phoneticPr fontId="1"/>
  </si>
  <si>
    <t>2 h 0 m</t>
    <phoneticPr fontId="1"/>
  </si>
  <si>
    <t>ワークディスプレー</t>
    <phoneticPr fontId="1"/>
  </si>
  <si>
    <t>フィルタ</t>
    <phoneticPr fontId="1"/>
  </si>
  <si>
    <t>銘板 (長円ピアスF)トライ</t>
    <rPh sb="0" eb="2">
      <t>メイバン</t>
    </rPh>
    <rPh sb="4" eb="5">
      <t>ナガ</t>
    </rPh>
    <rPh sb="5" eb="6">
      <t>エン</t>
    </rPh>
    <phoneticPr fontId="1"/>
  </si>
  <si>
    <t>PRT-25
スクラップ用ベルトコンベヤー入切スイッチプレート</t>
    <rPh sb="12" eb="13">
      <t>ヨウ</t>
    </rPh>
    <rPh sb="21" eb="22">
      <t>イ</t>
    </rPh>
    <rPh sb="22" eb="23">
      <t>キ</t>
    </rPh>
    <phoneticPr fontId="1"/>
  </si>
  <si>
    <t>チューブ銘板φ6</t>
    <rPh sb="4" eb="6">
      <t>メイバン</t>
    </rPh>
    <phoneticPr fontId="1"/>
  </si>
  <si>
    <t>チューブ銘板φ8</t>
    <rPh sb="4" eb="6">
      <t>メイバン</t>
    </rPh>
    <phoneticPr fontId="1"/>
  </si>
  <si>
    <t>VPZ 置き場</t>
    <rPh sb="4" eb="5">
      <t>オ</t>
    </rPh>
    <rPh sb="6" eb="7">
      <t>バ</t>
    </rPh>
    <phoneticPr fontId="1"/>
  </si>
  <si>
    <t>工機依頼</t>
    <rPh sb="0" eb="2">
      <t>コウキ</t>
    </rPh>
    <rPh sb="2" eb="4">
      <t>イライ</t>
    </rPh>
    <phoneticPr fontId="1"/>
  </si>
  <si>
    <t>Vブロック置き場</t>
    <rPh sb="5" eb="6">
      <t>オ</t>
    </rPh>
    <rPh sb="7" eb="8">
      <t>バ</t>
    </rPh>
    <phoneticPr fontId="1"/>
  </si>
  <si>
    <t>2 h 12 m</t>
    <phoneticPr fontId="1"/>
  </si>
  <si>
    <t>65D
銘板 (8回 x4)(8回 x2)</t>
    <rPh sb="9" eb="10">
      <t>カイ</t>
    </rPh>
    <phoneticPr fontId="1"/>
  </si>
  <si>
    <t>ダイヤルゲージケース用</t>
    <rPh sb="10" eb="11">
      <t>ヨウ</t>
    </rPh>
    <phoneticPr fontId="1"/>
  </si>
  <si>
    <t>技術部備品</t>
    <rPh sb="0" eb="3">
      <t>ギジュツブ</t>
    </rPh>
    <rPh sb="3" eb="5">
      <t>ビヒン</t>
    </rPh>
    <phoneticPr fontId="1"/>
  </si>
  <si>
    <t>8 h 14 m</t>
    <phoneticPr fontId="1"/>
  </si>
  <si>
    <t>レイセイ</t>
    <phoneticPr fontId="1"/>
  </si>
  <si>
    <t>丁番</t>
    <rPh sb="0" eb="2">
      <t>チョウバン</t>
    </rPh>
    <phoneticPr fontId="1"/>
  </si>
  <si>
    <t>50 m</t>
    <phoneticPr fontId="1"/>
  </si>
  <si>
    <t>ロボリレ</t>
    <phoneticPr fontId="1"/>
  </si>
  <si>
    <t>レンチホルダー試作</t>
    <rPh sb="7" eb="9">
      <t>シサク</t>
    </rPh>
    <phoneticPr fontId="1"/>
  </si>
  <si>
    <t xml:space="preserve">52 m </t>
    <phoneticPr fontId="1"/>
  </si>
  <si>
    <t>教育・試作</t>
    <rPh sb="0" eb="2">
      <t>キョウイク</t>
    </rPh>
    <rPh sb="3" eb="5">
      <t>シサク</t>
    </rPh>
    <phoneticPr fontId="1"/>
  </si>
  <si>
    <t>学才</t>
    <rPh sb="0" eb="2">
      <t>ガクサイ</t>
    </rPh>
    <phoneticPr fontId="1"/>
  </si>
  <si>
    <t>制御盤フタ</t>
    <rPh sb="0" eb="3">
      <t>セイギョバン</t>
    </rPh>
    <phoneticPr fontId="1"/>
  </si>
  <si>
    <t>6 h 10 m</t>
    <phoneticPr fontId="1"/>
  </si>
  <si>
    <t>1 h 56 m</t>
    <phoneticPr fontId="1"/>
  </si>
  <si>
    <t>3 h 52 m</t>
    <phoneticPr fontId="1"/>
  </si>
  <si>
    <t>2 h 43 m</t>
    <phoneticPr fontId="1"/>
  </si>
  <si>
    <t>1 h 13 m</t>
    <phoneticPr fontId="1"/>
  </si>
  <si>
    <t>3 h 9 m</t>
    <phoneticPr fontId="1"/>
  </si>
  <si>
    <t>3 h 2 m</t>
    <phoneticPr fontId="1"/>
  </si>
  <si>
    <t>26 m</t>
    <phoneticPr fontId="1"/>
  </si>
  <si>
    <t>2 h 59 m</t>
    <phoneticPr fontId="1"/>
  </si>
  <si>
    <t>1 h 20 m</t>
    <phoneticPr fontId="1"/>
  </si>
  <si>
    <t>43 m</t>
    <phoneticPr fontId="1"/>
  </si>
  <si>
    <t>17 h 30 m</t>
    <phoneticPr fontId="1"/>
  </si>
  <si>
    <t>65D 改善</t>
    <rPh sb="4" eb="6">
      <t>カイゼン</t>
    </rPh>
    <phoneticPr fontId="1"/>
  </si>
  <si>
    <t>4 h 45 m</t>
    <phoneticPr fontId="1"/>
  </si>
  <si>
    <t>7 h 41 m</t>
    <phoneticPr fontId="1"/>
  </si>
  <si>
    <t xml:space="preserve"> 3 h 45 m</t>
    <phoneticPr fontId="1"/>
  </si>
  <si>
    <t>3 h 18 m</t>
    <phoneticPr fontId="1"/>
  </si>
  <si>
    <t>3 h 41 m</t>
    <phoneticPr fontId="1"/>
  </si>
  <si>
    <t>11 m</t>
    <phoneticPr fontId="1"/>
  </si>
  <si>
    <t>5 h 2 m</t>
    <phoneticPr fontId="1"/>
  </si>
  <si>
    <t>2 h 40 m</t>
    <phoneticPr fontId="1"/>
  </si>
  <si>
    <t>3 h 46 m</t>
    <phoneticPr fontId="1"/>
  </si>
  <si>
    <t>2 h 54 m</t>
    <phoneticPr fontId="1"/>
  </si>
  <si>
    <t>3 h 35 m</t>
    <phoneticPr fontId="1"/>
  </si>
  <si>
    <t>2 h 58 m</t>
    <phoneticPr fontId="1"/>
  </si>
  <si>
    <t>7 h 36 m</t>
    <phoneticPr fontId="1"/>
  </si>
  <si>
    <t>4 h 7 m</t>
    <phoneticPr fontId="1"/>
  </si>
  <si>
    <t>8 h 37 m</t>
    <phoneticPr fontId="1"/>
  </si>
  <si>
    <t>6 h 32 m</t>
    <phoneticPr fontId="1"/>
  </si>
  <si>
    <t>吉田</t>
    <rPh sb="0" eb="2">
      <t>ヨシダ</t>
    </rPh>
    <phoneticPr fontId="1"/>
  </si>
  <si>
    <t>AE-VM SS スタンド</t>
    <phoneticPr fontId="1"/>
  </si>
  <si>
    <t>工具スタンド</t>
    <rPh sb="0" eb="2">
      <t>コウグ</t>
    </rPh>
    <phoneticPr fontId="1"/>
  </si>
  <si>
    <t>工具ホルダー</t>
    <rPh sb="0" eb="2">
      <t>コウグ</t>
    </rPh>
    <phoneticPr fontId="1"/>
  </si>
  <si>
    <t>AE-VM スタンド</t>
    <phoneticPr fontId="1"/>
  </si>
  <si>
    <t>プレス2G プレート</t>
    <phoneticPr fontId="1"/>
  </si>
  <si>
    <t>ケーブルホルダ上</t>
    <rPh sb="7" eb="8">
      <t>ウエ</t>
    </rPh>
    <phoneticPr fontId="1"/>
  </si>
  <si>
    <t>プレス2G 
1332-12S20</t>
    <phoneticPr fontId="1"/>
  </si>
  <si>
    <t>混入防止版</t>
    <rPh sb="0" eb="4">
      <t>コンニュウボウシ</t>
    </rPh>
    <rPh sb="4" eb="5">
      <t>バン</t>
    </rPh>
    <phoneticPr fontId="1"/>
  </si>
  <si>
    <t>混入防止改</t>
    <rPh sb="0" eb="4">
      <t>コンニュウボウシ</t>
    </rPh>
    <rPh sb="4" eb="5">
      <t>アラタ</t>
    </rPh>
    <phoneticPr fontId="1"/>
  </si>
  <si>
    <t>混入防止ソユ</t>
    <rPh sb="0" eb="4">
      <t>コンニュウボウシ</t>
    </rPh>
    <phoneticPr fontId="1"/>
  </si>
  <si>
    <t>WH70スタンド</t>
    <phoneticPr fontId="1"/>
  </si>
  <si>
    <t>AQDEX ５Dスタンド</t>
    <phoneticPr fontId="1"/>
  </si>
  <si>
    <t>VP-LDSスタンド</t>
    <phoneticPr fontId="1"/>
  </si>
  <si>
    <t>ラップ検査プレート</t>
    <rPh sb="3" eb="5">
      <t>ケンサ</t>
    </rPh>
    <phoneticPr fontId="1"/>
  </si>
  <si>
    <t>ラップ検査プレート足</t>
    <rPh sb="3" eb="5">
      <t>ケンサ</t>
    </rPh>
    <rPh sb="9" eb="10">
      <t>アシ</t>
    </rPh>
    <phoneticPr fontId="1"/>
  </si>
  <si>
    <t>レバスロ検査ジグ</t>
    <rPh sb="4" eb="6">
      <t>ケンサ</t>
    </rPh>
    <phoneticPr fontId="1"/>
  </si>
  <si>
    <t>ケーブルホルダ　下</t>
    <rPh sb="8" eb="9">
      <t>シタ</t>
    </rPh>
    <phoneticPr fontId="1"/>
  </si>
  <si>
    <t>ケーブルホルダ　上</t>
    <rPh sb="8" eb="9">
      <t>ウエ</t>
    </rPh>
    <phoneticPr fontId="1"/>
  </si>
  <si>
    <t>自動検査機ケーブルホルダー</t>
    <rPh sb="0" eb="2">
      <t>ジドウ</t>
    </rPh>
    <rPh sb="2" eb="5">
      <t>ケンサキ</t>
    </rPh>
    <phoneticPr fontId="1"/>
  </si>
  <si>
    <t>フタ</t>
    <phoneticPr fontId="1"/>
  </si>
  <si>
    <t>ケーブル</t>
    <phoneticPr fontId="1"/>
  </si>
  <si>
    <t>尿素</t>
    <rPh sb="0" eb="2">
      <t>ニョウソ</t>
    </rPh>
    <phoneticPr fontId="1"/>
  </si>
  <si>
    <t>エンドシルスタンド</t>
    <phoneticPr fontId="1"/>
  </si>
  <si>
    <t>エンドシルケース</t>
    <phoneticPr fontId="1"/>
  </si>
  <si>
    <t>ケーブルホルダースペーサー</t>
    <phoneticPr fontId="1"/>
  </si>
  <si>
    <t>プレス2G</t>
    <phoneticPr fontId="1"/>
  </si>
  <si>
    <t>ダクトフタ</t>
    <phoneticPr fontId="1"/>
  </si>
  <si>
    <t>AQSTスタンド</t>
    <phoneticPr fontId="1"/>
  </si>
  <si>
    <t>工具ホルダ</t>
    <rPh sb="0" eb="2">
      <t>コウグ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</si>
</sst>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#&quot; g&quot;"/>
    <numFmt numFmtId="177" formatCode="h:mm&quot; m&quot;"/>
    <numFmt numFmtId="178" formatCode="[h]&quot; h &quot;m&quot; m&quot;"/>
    <numFmt numFmtId="179" formatCode="&quot;: &quot;#&quot;円/Kg&quot;"/>
    <numFmt numFmtId="180" formatCode="#,##0.00&quot;円&quot;"/>
    <numFmt numFmtId="181" formatCode="#.0&quot; g&quot;"/>
    <numFmt numFmtId="182" formatCode="###,###.#&quot;円&quot;"/>
    <numFmt numFmtId="183" formatCode="#0.00&quot; g&quot;"/>
    <numFmt numFmtId="184" formatCode="#0&quot; g&quot;"/>
  </numFmts>
  <fonts count="1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8"/>
      <color theme="1"/>
      <name val="游ゴシック"/>
      <family val="2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6"/>
      <color theme="1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9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/>
      <bottom/>
      <diagonal/>
    </border>
    <border>
      <left style="thin">
        <color theme="2" tint="-0.24994659260841701"/>
      </left>
      <right style="thin">
        <color theme="2" tint="-0.24994659260841701"/>
      </right>
      <top/>
      <bottom style="medium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 style="dotted">
        <color theme="1"/>
      </top>
      <bottom style="dotted">
        <color theme="1"/>
      </bottom>
      <diagonal/>
    </border>
    <border>
      <left style="thin">
        <color theme="2" tint="-0.24994659260841701"/>
      </left>
      <right/>
      <top/>
      <bottom/>
      <diagonal/>
    </border>
    <border>
      <left/>
      <right style="thin">
        <color theme="2" tint="-0.24994659260841701"/>
      </right>
      <top/>
      <bottom/>
      <diagonal/>
    </border>
    <border>
      <left/>
      <right style="thin">
        <color theme="2" tint="-0.24994659260841701"/>
      </right>
      <top style="medium">
        <color theme="1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 style="dotted">
        <color auto="1"/>
      </top>
      <bottom style="dotted">
        <color auto="1"/>
      </bottom>
      <diagonal/>
    </border>
    <border>
      <left style="thin">
        <color theme="2" tint="-0.24994659260841701"/>
      </left>
      <right/>
      <top style="medium">
        <color theme="1"/>
      </top>
      <bottom style="dotted">
        <color auto="1"/>
      </bottom>
      <diagonal/>
    </border>
    <border>
      <left/>
      <right style="thin">
        <color theme="2" tint="-0.24994659260841701"/>
      </right>
      <top style="dotted">
        <color theme="1"/>
      </top>
      <bottom/>
      <diagonal/>
    </border>
    <border>
      <left style="thin">
        <color theme="2" tint="-0.24994659260841701"/>
      </left>
      <right/>
      <top/>
      <bottom style="dotted">
        <color auto="1"/>
      </bottom>
      <diagonal/>
    </border>
    <border>
      <left/>
      <right style="thin">
        <color theme="2" tint="-0.24994659260841701"/>
      </right>
      <top style="dotted">
        <color theme="1"/>
      </top>
      <bottom style="dotted">
        <color auto="1"/>
      </bottom>
      <diagonal/>
    </border>
    <border>
      <left style="thin">
        <color theme="2" tint="-0.24994659260841701"/>
      </left>
      <right style="thin">
        <color theme="2" tint="-0.24994659260841701"/>
      </right>
      <top style="dotted">
        <color auto="1"/>
      </top>
      <bottom style="dotted">
        <color theme="1"/>
      </bottom>
      <diagonal/>
    </border>
    <border>
      <left/>
      <right style="thin">
        <color theme="2" tint="-0.24994659260841701"/>
      </right>
      <top style="medium">
        <color theme="1"/>
      </top>
      <bottom style="dotted">
        <color theme="1"/>
      </bottom>
      <diagonal/>
    </border>
    <border>
      <left/>
      <right style="thin">
        <color theme="2" tint="-0.24994659260841701"/>
      </right>
      <top style="dotted">
        <color theme="1"/>
      </top>
      <bottom style="dotted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 style="dotted">
        <color auto="1"/>
      </top>
      <bottom/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2" xfId="0" applyBorder="1">
      <alignment vertical="center"/>
    </xf>
    <xf numFmtId="14" fontId="0" fillId="0" borderId="1" xfId="0" applyNumberFormat="1" applyBorder="1">
      <alignment vertical="center"/>
    </xf>
    <xf numFmtId="0" fontId="0" fillId="0" borderId="1" xfId="0" applyBorder="1">
      <alignment vertical="center"/>
    </xf>
    <xf numFmtId="14" fontId="0" fillId="0" borderId="3" xfId="0" applyNumberFormat="1" applyBorder="1">
      <alignment vertical="center"/>
    </xf>
    <xf numFmtId="0" fontId="0" fillId="0" borderId="3" xfId="0" applyBorder="1">
      <alignment vertical="center"/>
    </xf>
    <xf numFmtId="0" fontId="3" fillId="0" borderId="3" xfId="0" applyFont="1" applyBorder="1" applyAlignment="1">
      <alignment vertical="center" wrapText="1"/>
    </xf>
    <xf numFmtId="176" fontId="0" fillId="0" borderId="3" xfId="0" applyNumberFormat="1" applyBorder="1" applyAlignment="1">
      <alignment horizontal="left" vertical="center"/>
    </xf>
    <xf numFmtId="0" fontId="4" fillId="0" borderId="3" xfId="0" applyFont="1" applyBorder="1" applyAlignment="1">
      <alignment vertical="center" wrapText="1"/>
    </xf>
    <xf numFmtId="177" fontId="0" fillId="0" borderId="3" xfId="0" applyNumberFormat="1" applyBorder="1">
      <alignment vertical="center"/>
    </xf>
    <xf numFmtId="0" fontId="5" fillId="0" borderId="3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178" fontId="0" fillId="0" borderId="1" xfId="0" applyNumberFormat="1" applyBorder="1">
      <alignment vertical="center"/>
    </xf>
    <xf numFmtId="0" fontId="0" fillId="0" borderId="6" xfId="0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4" xfId="0" applyBorder="1">
      <alignment vertical="center"/>
    </xf>
    <xf numFmtId="176" fontId="0" fillId="0" borderId="1" xfId="0" applyNumberFormat="1" applyBorder="1" applyAlignment="1">
      <alignment horizontal="left" vertical="center"/>
    </xf>
    <xf numFmtId="176" fontId="0" fillId="0" borderId="7" xfId="0" applyNumberFormat="1" applyBorder="1" applyAlignment="1">
      <alignment horizontal="left" vertical="center"/>
    </xf>
    <xf numFmtId="176" fontId="0" fillId="0" borderId="12" xfId="0" applyNumberFormat="1" applyBorder="1" applyAlignment="1">
      <alignment horizontal="left" vertical="center"/>
    </xf>
    <xf numFmtId="179" fontId="0" fillId="0" borderId="9" xfId="0" applyNumberFormat="1" applyBorder="1" applyAlignment="1">
      <alignment horizontal="left" vertical="center"/>
    </xf>
    <xf numFmtId="180" fontId="0" fillId="0" borderId="3" xfId="0" applyNumberFormat="1" applyBorder="1">
      <alignment vertical="center"/>
    </xf>
    <xf numFmtId="0" fontId="0" fillId="2" borderId="3" xfId="0" applyFill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5" fillId="0" borderId="3" xfId="0" applyFont="1" applyBorder="1">
      <alignment vertical="center"/>
    </xf>
    <xf numFmtId="0" fontId="0" fillId="0" borderId="13" xfId="0" applyBorder="1" applyAlignment="1">
      <alignment horizontal="left" vertical="center"/>
    </xf>
    <xf numFmtId="181" fontId="0" fillId="0" borderId="7" xfId="0" applyNumberForma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7" fillId="0" borderId="3" xfId="0" applyFont="1" applyBorder="1" applyAlignment="1">
      <alignment vertical="center" wrapText="1"/>
    </xf>
    <xf numFmtId="0" fontId="0" fillId="0" borderId="15" xfId="0" applyBorder="1">
      <alignment vertical="center"/>
    </xf>
    <xf numFmtId="180" fontId="0" fillId="0" borderId="16" xfId="0" applyNumberFormat="1" applyBorder="1">
      <alignment vertical="center"/>
    </xf>
    <xf numFmtId="0" fontId="7" fillId="0" borderId="1" xfId="0" applyFont="1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0" fontId="0" fillId="3" borderId="0" xfId="0" applyFill="1">
      <alignment vertical="center"/>
    </xf>
    <xf numFmtId="182" fontId="0" fillId="3" borderId="0" xfId="0" applyNumberFormat="1" applyFill="1">
      <alignment vertical="center"/>
    </xf>
    <xf numFmtId="183" fontId="0" fillId="0" borderId="1" xfId="0" applyNumberFormat="1" applyBorder="1" applyAlignment="1">
      <alignment horizontal="left" vertical="center"/>
    </xf>
    <xf numFmtId="183" fontId="0" fillId="0" borderId="3" xfId="0" applyNumberFormat="1" applyBorder="1" applyAlignment="1">
      <alignment horizontal="left" vertical="center"/>
    </xf>
    <xf numFmtId="184" fontId="0" fillId="0" borderId="17" xfId="0" applyNumberFormat="1" applyBorder="1" applyAlignment="1">
      <alignment horizontal="left" vertical="center"/>
    </xf>
    <xf numFmtId="0" fontId="3" fillId="0" borderId="3" xfId="0" applyFont="1" applyBorder="1" applyAlignment="1">
      <alignment vertical="center" wrapText="1" shrinkToFit="1"/>
    </xf>
    <xf numFmtId="181" fontId="0" fillId="0" borderId="1" xfId="0" applyNumberFormat="1" applyBorder="1" applyAlignment="1">
      <alignment horizontal="left" vertical="center"/>
    </xf>
    <xf numFmtId="14" fontId="0" fillId="0" borderId="1" xfId="0" applyNumberFormat="1" applyBorder="1" applyAlignment="1">
      <alignment vertical="center" wrapText="1"/>
    </xf>
    <xf numFmtId="184" fontId="0" fillId="0" borderId="3" xfId="0" applyNumberFormat="1" applyBorder="1" applyAlignment="1">
      <alignment horizontal="left" vertical="center"/>
    </xf>
    <xf numFmtId="184" fontId="0" fillId="0" borderId="1" xfId="0" applyNumberFormat="1" applyBorder="1" applyAlignment="1">
      <alignment horizontal="left" vertical="center"/>
    </xf>
    <xf numFmtId="0" fontId="10" fillId="0" borderId="3" xfId="0" applyFont="1" applyBorder="1">
      <alignment vertical="center"/>
    </xf>
    <xf numFmtId="0" fontId="10" fillId="0" borderId="3" xfId="0" applyFont="1" applyBorder="1" applyAlignment="1">
      <alignment vertical="center" wrapText="1"/>
    </xf>
    <xf numFmtId="14" fontId="5" fillId="0" borderId="1" xfId="0" applyNumberFormat="1" applyFont="1" applyBorder="1" applyAlignment="1">
      <alignment horizontal="right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56" fontId="0" fillId="0" borderId="3" xfId="0" applyNumberForma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worksheet" Target="worksheets/sheet11.xml"/><Relationship Id="rId3" Type="http://schemas.openxmlformats.org/officeDocument/2006/relationships/worksheet" Target="worksheets/sheet1.xml"/><Relationship Id="rId7" Type="http://schemas.openxmlformats.org/officeDocument/2006/relationships/worksheet" Target="worksheets/sheet5.xml"/><Relationship Id="rId12" Type="http://schemas.openxmlformats.org/officeDocument/2006/relationships/worksheet" Target="worksheets/sheet10.xml"/><Relationship Id="rId17" Type="http://schemas.openxmlformats.org/officeDocument/2006/relationships/calcChain" Target="calcChain.xml"/><Relationship Id="rId2" Type="http://schemas.openxmlformats.org/officeDocument/2006/relationships/chartsheet" Target="chartsheets/sheet2.xml"/><Relationship Id="rId16" Type="http://schemas.openxmlformats.org/officeDocument/2006/relationships/sharedStrings" Target="sharedStrings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4.xml"/><Relationship Id="rId11" Type="http://schemas.openxmlformats.org/officeDocument/2006/relationships/worksheet" Target="worksheets/sheet9.xml"/><Relationship Id="rId5" Type="http://schemas.openxmlformats.org/officeDocument/2006/relationships/worksheet" Target="worksheets/sheet3.xml"/><Relationship Id="rId15" Type="http://schemas.openxmlformats.org/officeDocument/2006/relationships/styles" Target="styles.xml"/><Relationship Id="rId10" Type="http://schemas.openxmlformats.org/officeDocument/2006/relationships/worksheet" Target="worksheets/sheet8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sz="1800"/>
              <a:t>３</a:t>
            </a:r>
            <a:r>
              <a:rPr lang="en-US" sz="1800"/>
              <a:t>D</a:t>
            </a:r>
            <a:r>
              <a:rPr lang="ja-JP" sz="1800"/>
              <a:t>プリント　製作品内容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9583329522793039"/>
          <c:y val="8.8242540627823121E-2"/>
          <c:w val="0.58647066323305608"/>
          <c:h val="0.89712599533866899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0E3-46CC-B39B-47A40158D04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0E3-46CC-B39B-47A40158D04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0E3-46CC-B39B-47A40158D04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0E3-46CC-B39B-47A40158D04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0E3-46CC-B39B-47A40158D04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3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集計用!$N$121:$N$125</c:f>
              <c:strCache>
                <c:ptCount val="5"/>
                <c:pt idx="0">
                  <c:v>試作</c:v>
                </c:pt>
                <c:pt idx="1">
                  <c:v>改善</c:v>
                </c:pt>
                <c:pt idx="2">
                  <c:v>品質</c:v>
                </c:pt>
                <c:pt idx="3">
                  <c:v>検討品</c:v>
                </c:pt>
                <c:pt idx="4">
                  <c:v>内製化</c:v>
                </c:pt>
              </c:strCache>
            </c:strRef>
          </c:cat>
          <c:val>
            <c:numRef>
              <c:f>集計用!$O$121:$O$125</c:f>
              <c:numCache>
                <c:formatCode>General</c:formatCode>
                <c:ptCount val="5"/>
                <c:pt idx="0">
                  <c:v>24</c:v>
                </c:pt>
                <c:pt idx="1">
                  <c:v>16</c:v>
                </c:pt>
                <c:pt idx="2">
                  <c:v>13</c:v>
                </c:pt>
                <c:pt idx="3">
                  <c:v>21</c:v>
                </c:pt>
                <c:pt idx="4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0E3-46CC-B39B-47A40158D041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/>
              <a:t>３</a:t>
            </a:r>
            <a:r>
              <a:rPr lang="en-US"/>
              <a:t>D</a:t>
            </a:r>
            <a:r>
              <a:rPr lang="ja-JP"/>
              <a:t>プリント　部署別利用率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9649035789849686"/>
          <c:y val="6.9613181286801884E-2"/>
          <c:w val="0.60565276169132043"/>
          <c:h val="0.9264689109368465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779-45FE-B06B-16E45DB96A4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779-45FE-B06B-16E45DB96A4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779-45FE-B06B-16E45DB96A4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779-45FE-B06B-16E45DB96A4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779-45FE-B06B-16E45DB96A4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集計用!$P$121:$P$125</c:f>
              <c:strCache>
                <c:ptCount val="5"/>
                <c:pt idx="0">
                  <c:v>技術</c:v>
                </c:pt>
                <c:pt idx="1">
                  <c:v>冷鍛</c:v>
                </c:pt>
                <c:pt idx="2">
                  <c:v>プレス</c:v>
                </c:pt>
                <c:pt idx="3">
                  <c:v>生管</c:v>
                </c:pt>
                <c:pt idx="4">
                  <c:v>工機</c:v>
                </c:pt>
              </c:strCache>
            </c:strRef>
          </c:cat>
          <c:val>
            <c:numRef>
              <c:f>集計用!$Q$121:$Q$125</c:f>
              <c:numCache>
                <c:formatCode>General</c:formatCode>
                <c:ptCount val="5"/>
                <c:pt idx="0">
                  <c:v>59</c:v>
                </c:pt>
                <c:pt idx="1">
                  <c:v>28</c:v>
                </c:pt>
                <c:pt idx="2">
                  <c:v>8</c:v>
                </c:pt>
                <c:pt idx="3">
                  <c:v>4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779-45FE-B06B-16E45DB96A4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58DB9E9-0F14-4834-A2B9-845A0F1B0B4B}">
  <sheetPr/>
  <sheetViews>
    <sheetView zoomScale="73" workbookViewId="0"/>
  </sheetViews>
  <pageMargins left="0.7" right="0.7" top="0.75" bottom="0.75" header="0.3" footer="0.3"/>
  <pageSetup paperSize="9" orientation="landscape" horizontalDpi="1200" verticalDpi="1200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10F3AFA-3A71-483C-BC94-99647791EE57}">
  <sheetPr/>
  <sheetViews>
    <sheetView zoomScale="91" workbookViewId="0"/>
  </sheetViews>
  <pageMargins left="0.7" right="0.7" top="0.75" bottom="0.75" header="0.3" footer="0.3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0137" cy="6067295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52EFD52-F6E4-C7D4-3675-F87FED75D7D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0.37756</cdr:x>
      <cdr:y>0.42574</cdr:y>
    </cdr:from>
    <cdr:to>
      <cdr:x>0.62999</cdr:x>
      <cdr:y>0.73432</cdr:y>
    </cdr:to>
    <cdr:sp macro="" textlink="">
      <cdr:nvSpPr>
        <cdr:cNvPr id="2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AA027F17-C859-339A-CF98-819AD056C72C}"/>
            </a:ext>
          </a:extLst>
        </cdr:cNvPr>
        <cdr:cNvSpPr txBox="1"/>
      </cdr:nvSpPr>
      <cdr:spPr>
        <a:xfrm xmlns:a="http://schemas.openxmlformats.org/drawingml/2006/main">
          <a:off x="3509211" y="2586789"/>
          <a:ext cx="2346158" cy="187492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US" altLang="ja-JP" sz="1800" kern="1200"/>
            <a:t>12</a:t>
          </a:r>
          <a:r>
            <a:rPr lang="ja-JP" altLang="en-US" sz="1800" kern="1200"/>
            <a:t>月までの製作数</a:t>
          </a:r>
          <a:endParaRPr lang="en-US" altLang="ja-JP" sz="1800" kern="1200"/>
        </a:p>
        <a:p xmlns:a="http://schemas.openxmlformats.org/drawingml/2006/main">
          <a:pPr algn="ctr"/>
          <a:r>
            <a:rPr lang="en-US" altLang="ja-JP" sz="4400" kern="1200"/>
            <a:t>104</a:t>
          </a:r>
          <a:r>
            <a:rPr lang="ja-JP" altLang="en-US" sz="4400" kern="1200"/>
            <a:t>個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94725" cy="6070879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8A9D99D-87BC-3013-9EF2-3C0178ABD35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0.40748</cdr:x>
      <cdr:y>0.43922</cdr:y>
    </cdr:from>
    <cdr:to>
      <cdr:x>0.61121</cdr:x>
      <cdr:y>0.67126</cdr:y>
    </cdr:to>
    <cdr:sp macro="" textlink="">
      <cdr:nvSpPr>
        <cdr:cNvPr id="2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AD159117-698B-19DB-7B8E-B293C87CDA2B}"/>
            </a:ext>
          </a:extLst>
        </cdr:cNvPr>
        <cdr:cNvSpPr txBox="1"/>
      </cdr:nvSpPr>
      <cdr:spPr>
        <a:xfrm xmlns:a="http://schemas.openxmlformats.org/drawingml/2006/main">
          <a:off x="3784878" y="2662813"/>
          <a:ext cx="1892439" cy="14067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US" altLang="ja-JP" sz="1800" kern="1200"/>
            <a:t>12</a:t>
          </a:r>
          <a:r>
            <a:rPr lang="ja-JP" altLang="en-US" sz="1800" kern="1200"/>
            <a:t>月までの製作数</a:t>
          </a:r>
          <a:endParaRPr lang="en-US" altLang="ja-JP" sz="1800" kern="1200"/>
        </a:p>
        <a:p xmlns:a="http://schemas.openxmlformats.org/drawingml/2006/main">
          <a:pPr algn="ctr"/>
          <a:r>
            <a:rPr lang="en-US" altLang="ja-JP" sz="4000" kern="1200"/>
            <a:t>104</a:t>
          </a:r>
          <a:r>
            <a:rPr lang="ja-JP" altLang="en-US" sz="4000" kern="1200"/>
            <a:t>個</a:t>
          </a:r>
        </a:p>
      </cdr:txBody>
    </cdr:sp>
  </cdr:relSizeAnchor>
</c:userShape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D78A7-FF09-47DE-96B4-26562A37909B}">
  <dimension ref="B1:Q153"/>
  <sheetViews>
    <sheetView workbookViewId="0">
      <selection activeCell="M154" sqref="M154"/>
    </sheetView>
  </sheetViews>
  <sheetFormatPr defaultRowHeight="18.75"/>
  <cols>
    <col min="2" max="2" width="13.5" customWidth="1"/>
    <col min="3" max="3" width="21.125" customWidth="1"/>
    <col min="10" max="10" width="5.75" bestFit="1" customWidth="1"/>
  </cols>
  <sheetData>
    <row r="1" spans="2:13" ht="19.5" thickBot="1"/>
    <row r="2" spans="2:13">
      <c r="B2" s="3">
        <v>45789</v>
      </c>
      <c r="C2" s="4" t="s">
        <v>7</v>
      </c>
      <c r="D2" s="13" t="s">
        <v>59</v>
      </c>
      <c r="E2" s="15" t="s">
        <v>60</v>
      </c>
      <c r="F2" s="14" t="s">
        <v>62</v>
      </c>
      <c r="G2" s="19">
        <v>22</v>
      </c>
      <c r="H2" s="4" t="s">
        <v>8</v>
      </c>
      <c r="I2" s="4"/>
      <c r="J2" s="23" t="e">
        <f t="shared" ref="J2:J24" si="0">(G2/1000)*VLOOKUP(E2,$A$27:$C$30,2,FALSE) + IF(ISNUMBER(FIND("h",D2)), VALUE(LEFT(D2,FIND("h",D2)-1)) + VALUE(MID(D2,FIND("h",D2)+2,FIND("m",D2)-FIND("h",D2)-3))/60, VALUE(TRIM(LEFT(D2,FIND("m",D2)-1)))/60)*15</f>
        <v>#N/A</v>
      </c>
      <c r="L2" t="s">
        <v>35</v>
      </c>
      <c r="M2" t="s">
        <v>216</v>
      </c>
    </row>
    <row r="3" spans="2:13">
      <c r="B3" s="5">
        <v>45790</v>
      </c>
      <c r="C3" s="6" t="s">
        <v>9</v>
      </c>
      <c r="D3" s="6" t="s">
        <v>71</v>
      </c>
      <c r="E3" s="16" t="s">
        <v>63</v>
      </c>
      <c r="F3" s="17" t="s">
        <v>64</v>
      </c>
      <c r="G3" s="20">
        <v>10</v>
      </c>
      <c r="H3" s="6" t="s">
        <v>8</v>
      </c>
      <c r="I3" s="6"/>
      <c r="J3" s="23" t="e">
        <f t="shared" si="0"/>
        <v>#N/A</v>
      </c>
      <c r="L3" t="s">
        <v>35</v>
      </c>
      <c r="M3" t="s">
        <v>216</v>
      </c>
    </row>
    <row r="4" spans="2:13">
      <c r="B4" s="5">
        <v>45792</v>
      </c>
      <c r="C4" s="6" t="s">
        <v>9</v>
      </c>
      <c r="D4" s="6" t="s">
        <v>72</v>
      </c>
      <c r="E4" s="16" t="s">
        <v>60</v>
      </c>
      <c r="F4" s="17" t="s">
        <v>62</v>
      </c>
      <c r="G4" s="19">
        <v>15</v>
      </c>
      <c r="H4" s="6" t="s">
        <v>8</v>
      </c>
      <c r="I4" s="6"/>
      <c r="J4" s="23" t="e">
        <f t="shared" si="0"/>
        <v>#N/A</v>
      </c>
      <c r="L4" t="s">
        <v>35</v>
      </c>
      <c r="M4" t="s">
        <v>216</v>
      </c>
    </row>
    <row r="5" spans="2:13">
      <c r="B5" s="5">
        <v>45793</v>
      </c>
      <c r="C5" s="6" t="s">
        <v>10</v>
      </c>
      <c r="D5" s="6" t="s">
        <v>73</v>
      </c>
      <c r="E5" s="16" t="s">
        <v>60</v>
      </c>
      <c r="F5" s="17" t="s">
        <v>61</v>
      </c>
      <c r="G5" s="20">
        <v>3</v>
      </c>
      <c r="H5" s="6" t="s">
        <v>17</v>
      </c>
      <c r="I5" s="6"/>
      <c r="J5" s="23" t="e">
        <f t="shared" si="0"/>
        <v>#N/A</v>
      </c>
      <c r="L5" t="s">
        <v>210</v>
      </c>
      <c r="M5" t="s">
        <v>218</v>
      </c>
    </row>
    <row r="6" spans="2:13" ht="63">
      <c r="B6" s="5">
        <v>45797</v>
      </c>
      <c r="C6" s="6" t="s">
        <v>11</v>
      </c>
      <c r="D6" s="6" t="s">
        <v>74</v>
      </c>
      <c r="E6" s="16" t="s">
        <v>63</v>
      </c>
      <c r="F6" s="17" t="s">
        <v>64</v>
      </c>
      <c r="G6" s="20">
        <v>2</v>
      </c>
      <c r="H6" s="12" t="s">
        <v>51</v>
      </c>
      <c r="I6" s="6"/>
      <c r="J6" s="23" t="e">
        <f t="shared" si="0"/>
        <v>#N/A</v>
      </c>
      <c r="L6" t="s">
        <v>35</v>
      </c>
      <c r="M6" t="s">
        <v>216</v>
      </c>
    </row>
    <row r="7" spans="2:13" ht="47.25">
      <c r="B7" s="5">
        <v>45797</v>
      </c>
      <c r="C7" s="6" t="s">
        <v>11</v>
      </c>
      <c r="D7" s="6" t="s">
        <v>28</v>
      </c>
      <c r="E7" s="16" t="s">
        <v>60</v>
      </c>
      <c r="F7" s="17" t="s">
        <v>61</v>
      </c>
      <c r="G7" s="19">
        <v>1</v>
      </c>
      <c r="H7" s="12" t="s">
        <v>52</v>
      </c>
      <c r="I7" s="6"/>
      <c r="J7" s="23" t="e">
        <f t="shared" si="0"/>
        <v>#N/A</v>
      </c>
      <c r="L7" t="s">
        <v>35</v>
      </c>
      <c r="M7" t="s">
        <v>216</v>
      </c>
    </row>
    <row r="8" spans="2:13">
      <c r="B8" s="5">
        <v>45797</v>
      </c>
      <c r="C8" s="6" t="s">
        <v>12</v>
      </c>
      <c r="D8" s="6" t="s">
        <v>78</v>
      </c>
      <c r="E8" s="16" t="s">
        <v>60</v>
      </c>
      <c r="F8" s="17" t="s">
        <v>61</v>
      </c>
      <c r="G8" s="20">
        <v>42</v>
      </c>
      <c r="H8" s="6" t="s">
        <v>13</v>
      </c>
      <c r="I8" s="6"/>
      <c r="J8" s="23" t="e">
        <f t="shared" si="0"/>
        <v>#N/A</v>
      </c>
      <c r="L8" t="s">
        <v>211</v>
      </c>
      <c r="M8" t="s">
        <v>215</v>
      </c>
    </row>
    <row r="9" spans="2:13">
      <c r="B9" s="5">
        <v>45798</v>
      </c>
      <c r="C9" s="6" t="s">
        <v>14</v>
      </c>
      <c r="D9" s="6" t="s">
        <v>75</v>
      </c>
      <c r="E9" s="16" t="s">
        <v>60</v>
      </c>
      <c r="F9" s="17" t="s">
        <v>65</v>
      </c>
      <c r="G9" s="19">
        <v>166</v>
      </c>
      <c r="H9" s="6" t="s">
        <v>15</v>
      </c>
      <c r="I9" s="6"/>
      <c r="J9" s="23" t="e">
        <f t="shared" si="0"/>
        <v>#N/A</v>
      </c>
      <c r="L9" t="s">
        <v>210</v>
      </c>
      <c r="M9" t="s">
        <v>219</v>
      </c>
    </row>
    <row r="10" spans="2:13">
      <c r="B10" s="5">
        <v>45799</v>
      </c>
      <c r="C10" s="6" t="s">
        <v>16</v>
      </c>
      <c r="D10" s="6" t="s">
        <v>76</v>
      </c>
      <c r="E10" s="16" t="s">
        <v>60</v>
      </c>
      <c r="F10" s="17" t="s">
        <v>61</v>
      </c>
      <c r="G10" s="20">
        <v>131</v>
      </c>
      <c r="H10" s="6" t="s">
        <v>15</v>
      </c>
      <c r="I10" s="6"/>
      <c r="J10" s="23" t="e">
        <f t="shared" si="0"/>
        <v>#N/A</v>
      </c>
      <c r="L10" t="s">
        <v>210</v>
      </c>
      <c r="M10" t="s">
        <v>219</v>
      </c>
    </row>
    <row r="11" spans="2:13">
      <c r="B11" s="5">
        <v>45800</v>
      </c>
      <c r="C11" s="6" t="s">
        <v>18</v>
      </c>
      <c r="D11" s="6" t="s">
        <v>77</v>
      </c>
      <c r="E11" s="16" t="s">
        <v>60</v>
      </c>
      <c r="F11" s="17" t="s">
        <v>61</v>
      </c>
      <c r="G11" s="19">
        <v>22</v>
      </c>
      <c r="H11" s="6" t="s">
        <v>15</v>
      </c>
      <c r="I11" s="6"/>
      <c r="J11" s="23" t="e">
        <f t="shared" si="0"/>
        <v>#N/A</v>
      </c>
      <c r="L11" t="s">
        <v>210</v>
      </c>
      <c r="M11" t="s">
        <v>219</v>
      </c>
    </row>
    <row r="12" spans="2:13" ht="39">
      <c r="B12" s="5">
        <v>45803</v>
      </c>
      <c r="C12" s="7" t="s">
        <v>38</v>
      </c>
      <c r="D12" s="10" t="s">
        <v>22</v>
      </c>
      <c r="E12" s="16" t="s">
        <v>60</v>
      </c>
      <c r="F12" s="17" t="s">
        <v>65</v>
      </c>
      <c r="G12" s="20">
        <v>4</v>
      </c>
      <c r="H12" s="9" t="s">
        <v>23</v>
      </c>
      <c r="I12" s="6"/>
      <c r="J12" s="23" t="e">
        <f t="shared" si="0"/>
        <v>#N/A</v>
      </c>
      <c r="L12" t="s">
        <v>212</v>
      </c>
      <c r="M12" t="s">
        <v>216</v>
      </c>
    </row>
    <row r="13" spans="2:13">
      <c r="B13" s="5">
        <v>45804</v>
      </c>
      <c r="C13" s="6" t="s">
        <v>12</v>
      </c>
      <c r="D13" s="6" t="s">
        <v>30</v>
      </c>
      <c r="E13" s="16" t="s">
        <v>60</v>
      </c>
      <c r="F13" s="17" t="s">
        <v>62</v>
      </c>
      <c r="G13" s="21">
        <v>71</v>
      </c>
      <c r="H13" s="6" t="s">
        <v>55</v>
      </c>
      <c r="I13" s="6"/>
      <c r="J13" s="23" t="e">
        <f t="shared" si="0"/>
        <v>#N/A</v>
      </c>
      <c r="L13" t="s">
        <v>211</v>
      </c>
      <c r="M13" t="s">
        <v>215</v>
      </c>
    </row>
    <row r="14" spans="2:13">
      <c r="B14" s="5">
        <v>45799</v>
      </c>
      <c r="C14" s="6" t="s">
        <v>34</v>
      </c>
      <c r="D14" s="6" t="s">
        <v>24</v>
      </c>
      <c r="E14" s="16" t="s">
        <v>60</v>
      </c>
      <c r="F14" s="17" t="s">
        <v>61</v>
      </c>
      <c r="G14" s="19">
        <v>1</v>
      </c>
      <c r="H14" s="6" t="s">
        <v>35</v>
      </c>
      <c r="I14" s="6"/>
      <c r="J14" s="23" t="e">
        <f t="shared" si="0"/>
        <v>#N/A</v>
      </c>
      <c r="L14" t="s">
        <v>212</v>
      </c>
      <c r="M14" t="s">
        <v>216</v>
      </c>
    </row>
    <row r="15" spans="2:13" ht="33">
      <c r="B15" s="5">
        <v>45810</v>
      </c>
      <c r="C15" s="6" t="s">
        <v>36</v>
      </c>
      <c r="D15" s="6" t="s">
        <v>25</v>
      </c>
      <c r="E15" s="16" t="s">
        <v>60</v>
      </c>
      <c r="F15" s="17" t="s">
        <v>61</v>
      </c>
      <c r="G15" s="20">
        <v>4</v>
      </c>
      <c r="H15" s="11" t="s">
        <v>56</v>
      </c>
      <c r="I15" s="6"/>
      <c r="J15" s="23" t="e">
        <f t="shared" si="0"/>
        <v>#N/A</v>
      </c>
      <c r="L15" t="s">
        <v>214</v>
      </c>
      <c r="M15" t="s">
        <v>215</v>
      </c>
    </row>
    <row r="16" spans="2:13" ht="33">
      <c r="B16" s="5">
        <v>45810</v>
      </c>
      <c r="C16" s="6" t="s">
        <v>36</v>
      </c>
      <c r="D16" s="6" t="s">
        <v>26</v>
      </c>
      <c r="E16" s="16" t="s">
        <v>63</v>
      </c>
      <c r="F16" s="17" t="s">
        <v>64</v>
      </c>
      <c r="G16" s="19">
        <v>3</v>
      </c>
      <c r="H16" s="11" t="s">
        <v>56</v>
      </c>
      <c r="I16" s="6"/>
      <c r="J16" s="23" t="e">
        <f t="shared" si="0"/>
        <v>#N/A</v>
      </c>
      <c r="L16" t="s">
        <v>214</v>
      </c>
      <c r="M16" t="s">
        <v>215</v>
      </c>
    </row>
    <row r="17" spans="2:13" ht="37.5">
      <c r="B17" s="5">
        <v>45813</v>
      </c>
      <c r="C17" s="6" t="s">
        <v>37</v>
      </c>
      <c r="D17" s="6" t="s">
        <v>27</v>
      </c>
      <c r="E17" s="16" t="s">
        <v>60</v>
      </c>
      <c r="F17" s="17" t="s">
        <v>61</v>
      </c>
      <c r="G17" s="20">
        <v>3</v>
      </c>
      <c r="H17" s="24" t="s">
        <v>54</v>
      </c>
      <c r="I17" s="6"/>
      <c r="J17" s="23" t="e">
        <f t="shared" si="0"/>
        <v>#N/A</v>
      </c>
      <c r="L17" t="s">
        <v>214</v>
      </c>
      <c r="M17" t="s">
        <v>215</v>
      </c>
    </row>
    <row r="18" spans="2:13">
      <c r="B18" s="5">
        <v>45814</v>
      </c>
      <c r="C18" s="6" t="s">
        <v>39</v>
      </c>
      <c r="D18" s="6" t="s">
        <v>28</v>
      </c>
      <c r="E18" s="16" t="s">
        <v>63</v>
      </c>
      <c r="F18" s="17" t="s">
        <v>64</v>
      </c>
      <c r="G18" s="19">
        <v>2</v>
      </c>
      <c r="H18" s="6" t="s">
        <v>53</v>
      </c>
      <c r="I18" s="6"/>
      <c r="J18" s="23" t="e">
        <f t="shared" si="0"/>
        <v>#N/A</v>
      </c>
      <c r="L18" t="s">
        <v>212</v>
      </c>
      <c r="M18" t="s">
        <v>216</v>
      </c>
    </row>
    <row r="19" spans="2:13">
      <c r="B19" s="5">
        <v>45814</v>
      </c>
      <c r="C19" s="6" t="s">
        <v>40</v>
      </c>
      <c r="D19" s="6" t="s">
        <v>28</v>
      </c>
      <c r="E19" s="16" t="s">
        <v>60</v>
      </c>
      <c r="F19" s="17" t="s">
        <v>61</v>
      </c>
      <c r="G19" s="20">
        <v>1</v>
      </c>
      <c r="H19" s="6" t="s">
        <v>8</v>
      </c>
      <c r="I19" s="6"/>
      <c r="J19" s="23" t="e">
        <f t="shared" si="0"/>
        <v>#N/A</v>
      </c>
      <c r="L19" t="s">
        <v>35</v>
      </c>
      <c r="M19" t="s">
        <v>216</v>
      </c>
    </row>
    <row r="20" spans="2:13">
      <c r="B20" s="5">
        <v>45817</v>
      </c>
      <c r="C20" s="6"/>
      <c r="D20" s="6" t="s">
        <v>29</v>
      </c>
      <c r="E20" s="16" t="s">
        <v>66</v>
      </c>
      <c r="F20" s="17" t="s">
        <v>61</v>
      </c>
      <c r="G20" s="19">
        <v>1</v>
      </c>
      <c r="H20" s="6" t="s">
        <v>55</v>
      </c>
      <c r="I20" s="6"/>
      <c r="J20" s="23" t="e">
        <f t="shared" si="0"/>
        <v>#N/A</v>
      </c>
      <c r="L20" t="s">
        <v>35</v>
      </c>
      <c r="M20" t="s">
        <v>216</v>
      </c>
    </row>
    <row r="21" spans="2:13">
      <c r="B21" s="5">
        <v>45819</v>
      </c>
      <c r="C21" s="6" t="s">
        <v>41</v>
      </c>
      <c r="D21" s="6" t="s">
        <v>31</v>
      </c>
      <c r="E21" s="16" t="s">
        <v>60</v>
      </c>
      <c r="F21" s="17" t="s">
        <v>62</v>
      </c>
      <c r="G21" s="8">
        <v>32</v>
      </c>
      <c r="H21" s="6" t="s">
        <v>50</v>
      </c>
      <c r="I21" s="6"/>
      <c r="J21" s="23" t="e">
        <f t="shared" si="0"/>
        <v>#N/A</v>
      </c>
      <c r="L21" t="s">
        <v>35</v>
      </c>
      <c r="M21" t="s">
        <v>216</v>
      </c>
    </row>
    <row r="22" spans="2:13">
      <c r="B22" s="5">
        <v>45825</v>
      </c>
      <c r="C22" s="6" t="s">
        <v>57</v>
      </c>
      <c r="D22" s="6" t="s">
        <v>32</v>
      </c>
      <c r="E22" s="16" t="s">
        <v>60</v>
      </c>
      <c r="F22" s="17" t="s">
        <v>65</v>
      </c>
      <c r="G22" s="19">
        <v>29</v>
      </c>
      <c r="H22" s="6" t="s">
        <v>50</v>
      </c>
      <c r="I22" s="6"/>
      <c r="J22" s="23" t="e">
        <f t="shared" si="0"/>
        <v>#N/A</v>
      </c>
      <c r="L22" t="s">
        <v>35</v>
      </c>
      <c r="M22" t="s">
        <v>216</v>
      </c>
    </row>
    <row r="23" spans="2:13">
      <c r="B23" s="5">
        <v>45826</v>
      </c>
      <c r="C23" s="6" t="s">
        <v>42</v>
      </c>
      <c r="D23" s="6" t="s">
        <v>33</v>
      </c>
      <c r="E23" s="16" t="s">
        <v>60</v>
      </c>
      <c r="F23" s="17" t="s">
        <v>61</v>
      </c>
      <c r="G23" s="8">
        <v>12</v>
      </c>
      <c r="H23" s="6" t="s">
        <v>50</v>
      </c>
      <c r="I23" s="6"/>
      <c r="J23" s="23" t="e">
        <f t="shared" si="0"/>
        <v>#N/A</v>
      </c>
      <c r="L23" t="s">
        <v>214</v>
      </c>
      <c r="M23" t="s">
        <v>215</v>
      </c>
    </row>
    <row r="24" spans="2:13" ht="19.5" thickBot="1">
      <c r="B24" s="5">
        <v>45826</v>
      </c>
      <c r="C24" s="6" t="s">
        <v>58</v>
      </c>
      <c r="D24" s="6" t="s">
        <v>79</v>
      </c>
      <c r="E24" s="16" t="s">
        <v>60</v>
      </c>
      <c r="F24" s="17" t="s">
        <v>65</v>
      </c>
      <c r="G24" s="8">
        <v>12</v>
      </c>
      <c r="H24" s="6" t="s">
        <v>50</v>
      </c>
      <c r="I24" s="6"/>
      <c r="J24" s="23" t="e">
        <f t="shared" si="0"/>
        <v>#N/A</v>
      </c>
      <c r="L24" t="s">
        <v>35</v>
      </c>
      <c r="M24" t="s">
        <v>216</v>
      </c>
    </row>
    <row r="25" spans="2:13">
      <c r="C25" s="4" t="s">
        <v>43</v>
      </c>
      <c r="D25" s="13" t="s">
        <v>80</v>
      </c>
      <c r="E25" s="15" t="s">
        <v>60</v>
      </c>
      <c r="F25" s="14" t="s">
        <v>65</v>
      </c>
      <c r="G25" s="19">
        <v>4</v>
      </c>
      <c r="H25" s="4"/>
      <c r="I25" s="4"/>
      <c r="J25" s="23" t="e">
        <f t="shared" ref="J25:J70" si="1">IF(OR(E25="",D25="",G25=""), "", (G25/1000)*VLOOKUP(E25,$A$27:$C$30,2,FALSE) + IF(ISNUMBER(FIND("h",D25)), VALUE(LEFT(D25,FIND("h",D25)-1)) + VALUE(MID(D25,FIND("h",D25)+2,FIND("m",D25)-FIND("h",D25)-3))/60, VALUE(TRIM(LEFT(D25,FIND("m",D25)-1)))/60)*15)</f>
        <v>#N/A</v>
      </c>
      <c r="L25" t="s">
        <v>35</v>
      </c>
      <c r="M25" t="s">
        <v>216</v>
      </c>
    </row>
    <row r="26" spans="2:13">
      <c r="C26" s="6" t="s">
        <v>44</v>
      </c>
      <c r="D26" s="6" t="s">
        <v>47</v>
      </c>
      <c r="E26" s="16" t="s">
        <v>60</v>
      </c>
      <c r="F26" s="17" t="s">
        <v>65</v>
      </c>
      <c r="G26" s="20">
        <v>96</v>
      </c>
      <c r="H26" s="6" t="s">
        <v>81</v>
      </c>
      <c r="I26" s="6" t="s">
        <v>82</v>
      </c>
      <c r="J26" s="23" t="e">
        <f t="shared" si="1"/>
        <v>#N/A</v>
      </c>
      <c r="L26" t="s">
        <v>214</v>
      </c>
      <c r="M26" t="s">
        <v>216</v>
      </c>
    </row>
    <row r="27" spans="2:13" ht="33">
      <c r="C27" s="6" t="s">
        <v>45</v>
      </c>
      <c r="D27" s="6" t="s">
        <v>48</v>
      </c>
      <c r="E27" s="16" t="s">
        <v>60</v>
      </c>
      <c r="F27" s="17" t="s">
        <v>62</v>
      </c>
      <c r="G27" s="19">
        <v>49</v>
      </c>
      <c r="H27" s="11" t="s">
        <v>83</v>
      </c>
      <c r="I27" s="6" t="s">
        <v>84</v>
      </c>
      <c r="J27" s="23" t="e">
        <f t="shared" si="1"/>
        <v>#N/A</v>
      </c>
      <c r="L27" t="s">
        <v>35</v>
      </c>
      <c r="M27" t="s">
        <v>215</v>
      </c>
    </row>
    <row r="28" spans="2:13" ht="33">
      <c r="C28" s="6" t="s">
        <v>46</v>
      </c>
      <c r="D28" s="6" t="s">
        <v>49</v>
      </c>
      <c r="E28" s="16" t="s">
        <v>60</v>
      </c>
      <c r="F28" s="17" t="s">
        <v>65</v>
      </c>
      <c r="G28" s="20">
        <v>10</v>
      </c>
      <c r="H28" s="11" t="s">
        <v>83</v>
      </c>
      <c r="I28" s="6" t="s">
        <v>84</v>
      </c>
      <c r="J28" s="23" t="e">
        <f t="shared" si="1"/>
        <v>#N/A</v>
      </c>
      <c r="L28" t="s">
        <v>214</v>
      </c>
      <c r="M28" t="s">
        <v>215</v>
      </c>
    </row>
    <row r="29" spans="2:13">
      <c r="C29" s="6" t="s">
        <v>107</v>
      </c>
      <c r="D29" s="6" t="s">
        <v>85</v>
      </c>
      <c r="E29" s="16" t="s">
        <v>60</v>
      </c>
      <c r="F29" s="17" t="s">
        <v>62</v>
      </c>
      <c r="G29" s="20">
        <v>4</v>
      </c>
      <c r="H29" s="25" t="s">
        <v>35</v>
      </c>
      <c r="I29" s="6" t="s">
        <v>128</v>
      </c>
      <c r="J29" s="23" t="e">
        <f t="shared" si="1"/>
        <v>#N/A</v>
      </c>
      <c r="L29" t="s">
        <v>213</v>
      </c>
      <c r="M29" t="s">
        <v>216</v>
      </c>
    </row>
    <row r="30" spans="2:13">
      <c r="C30" s="6" t="s">
        <v>108</v>
      </c>
      <c r="D30" s="6" t="s">
        <v>87</v>
      </c>
      <c r="E30" s="16" t="s">
        <v>60</v>
      </c>
      <c r="F30" s="17" t="s">
        <v>61</v>
      </c>
      <c r="G30" s="19">
        <v>1</v>
      </c>
      <c r="H30" s="25" t="s">
        <v>35</v>
      </c>
      <c r="I30" s="6" t="s">
        <v>128</v>
      </c>
      <c r="J30" s="23" t="e">
        <f t="shared" si="1"/>
        <v>#N/A</v>
      </c>
      <c r="L30" t="s">
        <v>213</v>
      </c>
      <c r="M30" t="s">
        <v>216</v>
      </c>
    </row>
    <row r="31" spans="2:13">
      <c r="C31" s="6" t="s">
        <v>109</v>
      </c>
      <c r="D31" s="6" t="s">
        <v>88</v>
      </c>
      <c r="E31" s="16" t="s">
        <v>60</v>
      </c>
      <c r="F31" s="17" t="s">
        <v>65</v>
      </c>
      <c r="G31" s="20">
        <v>1</v>
      </c>
      <c r="H31" s="25" t="s">
        <v>35</v>
      </c>
      <c r="I31" s="6" t="s">
        <v>128</v>
      </c>
      <c r="J31" s="23" t="e">
        <f t="shared" si="1"/>
        <v>#N/A</v>
      </c>
      <c r="L31" t="s">
        <v>213</v>
      </c>
      <c r="M31" t="s">
        <v>216</v>
      </c>
    </row>
    <row r="32" spans="2:13" ht="33">
      <c r="C32" s="6" t="s">
        <v>126</v>
      </c>
      <c r="D32" s="6" t="s">
        <v>89</v>
      </c>
      <c r="E32" s="16" t="s">
        <v>66</v>
      </c>
      <c r="F32" s="17"/>
      <c r="G32" s="19">
        <v>9</v>
      </c>
      <c r="H32" s="11" t="s">
        <v>83</v>
      </c>
      <c r="I32" s="6" t="s">
        <v>84</v>
      </c>
      <c r="J32" s="23" t="e">
        <f t="shared" si="1"/>
        <v>#N/A</v>
      </c>
      <c r="L32" t="s">
        <v>214</v>
      </c>
      <c r="M32" t="s">
        <v>215</v>
      </c>
    </row>
    <row r="33" spans="3:13" ht="33">
      <c r="C33" s="6" t="s">
        <v>127</v>
      </c>
      <c r="D33" s="6" t="s">
        <v>90</v>
      </c>
      <c r="E33" s="16" t="s">
        <v>60</v>
      </c>
      <c r="F33" s="17" t="s">
        <v>61</v>
      </c>
      <c r="G33" s="20">
        <v>12</v>
      </c>
      <c r="H33" s="11" t="s">
        <v>83</v>
      </c>
      <c r="I33" s="6" t="s">
        <v>84</v>
      </c>
      <c r="J33" s="23" t="e">
        <f t="shared" si="1"/>
        <v>#N/A</v>
      </c>
      <c r="L33" t="s">
        <v>214</v>
      </c>
      <c r="M33" t="s">
        <v>215</v>
      </c>
    </row>
    <row r="34" spans="3:13">
      <c r="C34" s="6" t="s">
        <v>114</v>
      </c>
      <c r="D34" s="6" t="s">
        <v>91</v>
      </c>
      <c r="E34" s="16" t="s">
        <v>60</v>
      </c>
      <c r="F34" s="17" t="s">
        <v>61</v>
      </c>
      <c r="G34" s="19">
        <v>121</v>
      </c>
      <c r="H34" s="11" t="s">
        <v>111</v>
      </c>
      <c r="I34" s="6" t="s">
        <v>84</v>
      </c>
      <c r="J34" s="23" t="e">
        <f t="shared" si="1"/>
        <v>#N/A</v>
      </c>
      <c r="L34" t="s">
        <v>35</v>
      </c>
      <c r="M34" t="s">
        <v>216</v>
      </c>
    </row>
    <row r="35" spans="3:13">
      <c r="C35" s="6" t="s">
        <v>115</v>
      </c>
      <c r="D35" s="10" t="s">
        <v>91</v>
      </c>
      <c r="E35" s="16" t="s">
        <v>60</v>
      </c>
      <c r="F35" s="17" t="s">
        <v>61</v>
      </c>
      <c r="G35" s="20">
        <v>121</v>
      </c>
      <c r="H35" s="11" t="s">
        <v>111</v>
      </c>
      <c r="I35" s="6" t="s">
        <v>84</v>
      </c>
      <c r="J35" s="23" t="e">
        <f t="shared" si="1"/>
        <v>#N/A</v>
      </c>
      <c r="L35" t="s">
        <v>35</v>
      </c>
      <c r="M35" t="s">
        <v>216</v>
      </c>
    </row>
    <row r="36" spans="3:13" ht="33">
      <c r="C36" s="6" t="s">
        <v>116</v>
      </c>
      <c r="D36" s="6" t="s">
        <v>92</v>
      </c>
      <c r="E36" s="16" t="s">
        <v>60</v>
      </c>
      <c r="F36" s="17" t="s">
        <v>64</v>
      </c>
      <c r="G36" s="21">
        <v>186</v>
      </c>
      <c r="H36" s="11" t="s">
        <v>83</v>
      </c>
      <c r="I36" s="6" t="s">
        <v>84</v>
      </c>
      <c r="J36" s="23" t="e">
        <f t="shared" si="1"/>
        <v>#N/A</v>
      </c>
      <c r="L36" t="s">
        <v>211</v>
      </c>
      <c r="M36" t="s">
        <v>215</v>
      </c>
    </row>
    <row r="37" spans="3:13" ht="33">
      <c r="C37" s="6" t="s">
        <v>123</v>
      </c>
      <c r="D37" s="6" t="s">
        <v>93</v>
      </c>
      <c r="E37" s="16" t="s">
        <v>60</v>
      </c>
      <c r="F37" s="17" t="s">
        <v>62</v>
      </c>
      <c r="G37" s="19">
        <v>2</v>
      </c>
      <c r="H37" s="11" t="s">
        <v>83</v>
      </c>
      <c r="I37" s="6" t="s">
        <v>84</v>
      </c>
      <c r="J37" s="23" t="e">
        <f t="shared" si="1"/>
        <v>#N/A</v>
      </c>
      <c r="L37" t="s">
        <v>211</v>
      </c>
      <c r="M37" t="s">
        <v>215</v>
      </c>
    </row>
    <row r="38" spans="3:13">
      <c r="C38" s="6" t="s">
        <v>117</v>
      </c>
      <c r="D38" s="6" t="s">
        <v>94</v>
      </c>
      <c r="E38" s="16" t="s">
        <v>60</v>
      </c>
      <c r="F38" s="17" t="s">
        <v>65</v>
      </c>
      <c r="G38" s="20">
        <v>18</v>
      </c>
      <c r="H38" s="11" t="s">
        <v>50</v>
      </c>
      <c r="I38" s="6" t="s">
        <v>82</v>
      </c>
      <c r="J38" s="23" t="e">
        <f t="shared" si="1"/>
        <v>#N/A</v>
      </c>
      <c r="L38" t="s">
        <v>35</v>
      </c>
      <c r="M38" t="s">
        <v>216</v>
      </c>
    </row>
    <row r="39" spans="3:13">
      <c r="C39" s="6" t="s">
        <v>113</v>
      </c>
      <c r="D39" s="6" t="s">
        <v>91</v>
      </c>
      <c r="E39" s="16" t="s">
        <v>60</v>
      </c>
      <c r="F39" s="17" t="s">
        <v>105</v>
      </c>
      <c r="G39" s="19">
        <v>121</v>
      </c>
      <c r="H39" s="11" t="s">
        <v>111</v>
      </c>
      <c r="I39" s="6" t="s">
        <v>84</v>
      </c>
      <c r="J39" s="23" t="e">
        <f t="shared" si="1"/>
        <v>#N/A</v>
      </c>
      <c r="L39" t="s">
        <v>35</v>
      </c>
      <c r="M39" t="s">
        <v>216</v>
      </c>
    </row>
    <row r="40" spans="3:13" ht="33">
      <c r="C40" s="6" t="s">
        <v>118</v>
      </c>
      <c r="D40" s="6" t="s">
        <v>95</v>
      </c>
      <c r="E40" s="16" t="s">
        <v>60</v>
      </c>
      <c r="F40" s="17" t="s">
        <v>104</v>
      </c>
      <c r="G40" s="20">
        <v>94</v>
      </c>
      <c r="H40" s="11" t="s">
        <v>83</v>
      </c>
      <c r="I40" s="6" t="s">
        <v>84</v>
      </c>
      <c r="J40" s="23" t="e">
        <f t="shared" si="1"/>
        <v>#N/A</v>
      </c>
      <c r="L40" t="s">
        <v>211</v>
      </c>
      <c r="M40" t="s">
        <v>215</v>
      </c>
    </row>
    <row r="41" spans="3:13" ht="33">
      <c r="C41" s="6" t="s">
        <v>119</v>
      </c>
      <c r="D41" s="6" t="s">
        <v>96</v>
      </c>
      <c r="E41" s="16" t="s">
        <v>63</v>
      </c>
      <c r="F41" s="17" t="s">
        <v>64</v>
      </c>
      <c r="G41" s="19">
        <v>104</v>
      </c>
      <c r="H41" s="11" t="s">
        <v>83</v>
      </c>
      <c r="I41" s="6" t="s">
        <v>84</v>
      </c>
      <c r="J41" s="23" t="e">
        <f t="shared" si="1"/>
        <v>#N/A</v>
      </c>
      <c r="L41" t="s">
        <v>211</v>
      </c>
      <c r="M41" t="s">
        <v>215</v>
      </c>
    </row>
    <row r="42" spans="3:13">
      <c r="C42" s="6" t="s">
        <v>125</v>
      </c>
      <c r="D42" s="6" t="s">
        <v>97</v>
      </c>
      <c r="E42" s="16" t="s">
        <v>60</v>
      </c>
      <c r="F42" s="17" t="s">
        <v>61</v>
      </c>
      <c r="G42" s="20">
        <v>1</v>
      </c>
      <c r="H42" s="6" t="s">
        <v>81</v>
      </c>
      <c r="I42" s="6" t="s">
        <v>129</v>
      </c>
      <c r="J42" s="23" t="e">
        <f t="shared" si="1"/>
        <v>#N/A</v>
      </c>
      <c r="L42" t="s">
        <v>213</v>
      </c>
      <c r="M42" t="s">
        <v>216</v>
      </c>
    </row>
    <row r="43" spans="3:13">
      <c r="C43" s="6" t="s">
        <v>120</v>
      </c>
      <c r="D43" s="6" t="s">
        <v>98</v>
      </c>
      <c r="E43" s="16" t="s">
        <v>60</v>
      </c>
      <c r="F43" s="17" t="s">
        <v>106</v>
      </c>
      <c r="G43" s="19">
        <v>36</v>
      </c>
      <c r="H43" s="26" t="s">
        <v>110</v>
      </c>
      <c r="I43" s="6" t="s">
        <v>84</v>
      </c>
      <c r="J43" s="23" t="e">
        <f t="shared" si="1"/>
        <v>#N/A</v>
      </c>
      <c r="L43" t="s">
        <v>210</v>
      </c>
      <c r="M43" t="s">
        <v>216</v>
      </c>
    </row>
    <row r="44" spans="3:13">
      <c r="C44" s="6" t="s">
        <v>121</v>
      </c>
      <c r="D44" s="6" t="s">
        <v>99</v>
      </c>
      <c r="E44" s="16" t="s">
        <v>60</v>
      </c>
      <c r="F44" s="17" t="s">
        <v>103</v>
      </c>
      <c r="G44" s="8">
        <v>68</v>
      </c>
      <c r="H44" s="6" t="s">
        <v>130</v>
      </c>
      <c r="I44" s="6" t="s">
        <v>84</v>
      </c>
      <c r="J44" s="23" t="e">
        <f t="shared" si="1"/>
        <v>#N/A</v>
      </c>
      <c r="L44" t="s">
        <v>35</v>
      </c>
      <c r="M44" t="s">
        <v>216</v>
      </c>
    </row>
    <row r="45" spans="3:13">
      <c r="C45" s="6" t="s">
        <v>122</v>
      </c>
      <c r="D45" s="6" t="s">
        <v>100</v>
      </c>
      <c r="E45" s="16" t="s">
        <v>60</v>
      </c>
      <c r="F45" s="17" t="s">
        <v>103</v>
      </c>
      <c r="G45" s="19">
        <v>3</v>
      </c>
      <c r="H45" s="6" t="s">
        <v>131</v>
      </c>
      <c r="I45" s="6" t="s">
        <v>84</v>
      </c>
      <c r="J45" s="23" t="e">
        <f t="shared" si="1"/>
        <v>#N/A</v>
      </c>
      <c r="L45" t="s">
        <v>210</v>
      </c>
      <c r="M45" t="s">
        <v>215</v>
      </c>
    </row>
    <row r="46" spans="3:13" ht="33">
      <c r="C46" s="6" t="s">
        <v>112</v>
      </c>
      <c r="D46" s="6" t="s">
        <v>101</v>
      </c>
      <c r="E46" s="16" t="s">
        <v>86</v>
      </c>
      <c r="F46" s="17"/>
      <c r="G46" s="8">
        <v>14</v>
      </c>
      <c r="H46" s="11" t="s">
        <v>83</v>
      </c>
      <c r="I46" s="6" t="s">
        <v>84</v>
      </c>
      <c r="J46" s="23" t="e">
        <f t="shared" si="1"/>
        <v>#N/A</v>
      </c>
      <c r="K46" s="35">
        <f>22500-289.79</f>
        <v>22210.21</v>
      </c>
      <c r="L46" s="35" t="s">
        <v>214</v>
      </c>
      <c r="M46" s="35" t="s">
        <v>215</v>
      </c>
    </row>
    <row r="47" spans="3:13" ht="33.75" thickBot="1">
      <c r="C47" s="6" t="s">
        <v>112</v>
      </c>
      <c r="D47" s="6" t="s">
        <v>102</v>
      </c>
      <c r="E47" s="16" t="s">
        <v>66</v>
      </c>
      <c r="F47" s="17"/>
      <c r="G47" s="8">
        <v>11</v>
      </c>
      <c r="H47" s="11" t="s">
        <v>83</v>
      </c>
      <c r="I47" s="6" t="s">
        <v>84</v>
      </c>
      <c r="J47" s="23" t="e">
        <f t="shared" si="1"/>
        <v>#N/A</v>
      </c>
      <c r="L47" t="s">
        <v>214</v>
      </c>
      <c r="M47" t="s">
        <v>215</v>
      </c>
    </row>
    <row r="48" spans="3:13" ht="33">
      <c r="C48" s="6" t="s">
        <v>124</v>
      </c>
      <c r="D48" s="13" t="s">
        <v>132</v>
      </c>
      <c r="E48" s="15" t="s">
        <v>86</v>
      </c>
      <c r="F48" s="27"/>
      <c r="G48" s="19">
        <v>32</v>
      </c>
      <c r="H48" s="33" t="s">
        <v>165</v>
      </c>
      <c r="I48" s="4" t="s">
        <v>84</v>
      </c>
      <c r="J48" s="23" t="e">
        <f t="shared" si="1"/>
        <v>#N/A</v>
      </c>
      <c r="K48" s="35">
        <f>22500-289.79</f>
        <v>22210.21</v>
      </c>
      <c r="L48" s="35" t="s">
        <v>214</v>
      </c>
      <c r="M48" s="35" t="s">
        <v>215</v>
      </c>
    </row>
    <row r="49" spans="3:13">
      <c r="C49" s="6" t="s">
        <v>140</v>
      </c>
      <c r="D49" s="6" t="s">
        <v>133</v>
      </c>
      <c r="E49" s="16" t="s">
        <v>63</v>
      </c>
      <c r="F49" s="29" t="s">
        <v>103</v>
      </c>
      <c r="G49" s="20">
        <v>93</v>
      </c>
      <c r="H49" s="26" t="s">
        <v>166</v>
      </c>
      <c r="I49" s="4" t="s">
        <v>84</v>
      </c>
      <c r="J49" s="23" t="e">
        <f t="shared" si="1"/>
        <v>#N/A</v>
      </c>
      <c r="L49" t="s">
        <v>214</v>
      </c>
      <c r="M49" t="s">
        <v>217</v>
      </c>
    </row>
    <row r="50" spans="3:13">
      <c r="C50" t="s">
        <v>145</v>
      </c>
      <c r="D50" s="6" t="s">
        <v>134</v>
      </c>
      <c r="E50" s="16" t="s">
        <v>60</v>
      </c>
      <c r="F50" s="29" t="s">
        <v>106</v>
      </c>
      <c r="G50" s="19">
        <v>28</v>
      </c>
      <c r="H50" s="26" t="s">
        <v>167</v>
      </c>
      <c r="I50" s="4" t="s">
        <v>84</v>
      </c>
      <c r="J50" s="23" t="e">
        <f t="shared" si="1"/>
        <v>#N/A</v>
      </c>
      <c r="L50" t="s">
        <v>211</v>
      </c>
      <c r="M50" t="s">
        <v>218</v>
      </c>
    </row>
    <row r="51" spans="3:13">
      <c r="C51" s="6" t="s">
        <v>143</v>
      </c>
      <c r="D51" s="6" t="s">
        <v>85</v>
      </c>
      <c r="E51" s="16" t="s">
        <v>60</v>
      </c>
      <c r="F51" s="29" t="s">
        <v>106</v>
      </c>
      <c r="G51" s="20">
        <v>4</v>
      </c>
      <c r="H51" s="11" t="s">
        <v>168</v>
      </c>
      <c r="I51" s="4" t="s">
        <v>84</v>
      </c>
      <c r="J51" s="23" t="e">
        <f t="shared" si="1"/>
        <v>#N/A</v>
      </c>
      <c r="L51" t="s">
        <v>213</v>
      </c>
      <c r="M51" t="s">
        <v>216</v>
      </c>
    </row>
    <row r="52" spans="3:13" ht="66">
      <c r="C52" s="6" t="s">
        <v>144</v>
      </c>
      <c r="D52" s="6" t="s">
        <v>28</v>
      </c>
      <c r="E52" s="16" t="s">
        <v>60</v>
      </c>
      <c r="F52" s="29" t="s">
        <v>103</v>
      </c>
      <c r="G52" s="28">
        <v>4.8</v>
      </c>
      <c r="H52" s="11" t="s">
        <v>186</v>
      </c>
      <c r="I52" s="6" t="s">
        <v>146</v>
      </c>
      <c r="J52" s="23" t="e">
        <f t="shared" si="1"/>
        <v>#N/A</v>
      </c>
      <c r="L52" t="s">
        <v>213</v>
      </c>
      <c r="M52" t="s">
        <v>216</v>
      </c>
    </row>
    <row r="53" spans="3:13">
      <c r="C53" t="s">
        <v>145</v>
      </c>
      <c r="D53" s="6" t="s">
        <v>102</v>
      </c>
      <c r="E53" s="16" t="s">
        <v>60</v>
      </c>
      <c r="F53" s="29" t="s">
        <v>106</v>
      </c>
      <c r="G53" s="19">
        <v>28</v>
      </c>
      <c r="H53" s="11" t="s">
        <v>184</v>
      </c>
      <c r="I53" s="4" t="s">
        <v>84</v>
      </c>
      <c r="J53" s="23" t="e">
        <f t="shared" si="1"/>
        <v>#N/A</v>
      </c>
      <c r="L53" t="s">
        <v>211</v>
      </c>
      <c r="M53" t="s">
        <v>218</v>
      </c>
    </row>
    <row r="54" spans="3:13">
      <c r="C54" s="6" t="s">
        <v>143</v>
      </c>
      <c r="D54" s="6" t="s">
        <v>135</v>
      </c>
      <c r="E54" s="16" t="s">
        <v>60</v>
      </c>
      <c r="F54" s="17" t="s">
        <v>103</v>
      </c>
      <c r="G54" s="20">
        <v>24</v>
      </c>
      <c r="H54" s="11" t="s">
        <v>168</v>
      </c>
      <c r="I54" s="4" t="s">
        <v>84</v>
      </c>
      <c r="J54" s="23" t="e">
        <f t="shared" si="1"/>
        <v>#N/A</v>
      </c>
      <c r="L54" t="s">
        <v>213</v>
      </c>
      <c r="M54" t="s">
        <v>216</v>
      </c>
    </row>
    <row r="55" spans="3:13">
      <c r="C55" s="6" t="s">
        <v>164</v>
      </c>
      <c r="D55" s="6" t="s">
        <v>76</v>
      </c>
      <c r="E55" s="16" t="s">
        <v>86</v>
      </c>
      <c r="F55" s="17"/>
      <c r="G55" s="19">
        <v>146</v>
      </c>
      <c r="H55" s="11" t="s">
        <v>185</v>
      </c>
      <c r="I55" s="4" t="s">
        <v>84</v>
      </c>
      <c r="J55" s="23" t="e">
        <f t="shared" si="1"/>
        <v>#N/A</v>
      </c>
      <c r="L55" t="s">
        <v>214</v>
      </c>
      <c r="M55" t="s">
        <v>217</v>
      </c>
    </row>
    <row r="56" spans="3:13" ht="33">
      <c r="C56" s="11" t="s">
        <v>141</v>
      </c>
      <c r="D56" s="6" t="s">
        <v>136</v>
      </c>
      <c r="E56" s="16" t="s">
        <v>60</v>
      </c>
      <c r="F56" s="17" t="s">
        <v>65</v>
      </c>
      <c r="G56" s="20">
        <v>48</v>
      </c>
      <c r="H56" s="11" t="s">
        <v>82</v>
      </c>
      <c r="I56" s="6" t="s">
        <v>82</v>
      </c>
      <c r="J56" s="23" t="e">
        <f t="shared" si="1"/>
        <v>#N/A</v>
      </c>
      <c r="L56" t="s">
        <v>214</v>
      </c>
      <c r="M56" t="s">
        <v>216</v>
      </c>
    </row>
    <row r="57" spans="3:13" ht="66">
      <c r="C57" s="6" t="s">
        <v>142</v>
      </c>
      <c r="D57" s="10" t="s">
        <v>137</v>
      </c>
      <c r="E57" s="16" t="s">
        <v>60</v>
      </c>
      <c r="F57" s="17" t="s">
        <v>65</v>
      </c>
      <c r="G57" s="20">
        <v>6</v>
      </c>
      <c r="H57" s="11" t="s">
        <v>186</v>
      </c>
      <c r="I57" s="6" t="s">
        <v>146</v>
      </c>
      <c r="J57" s="23" t="e">
        <f t="shared" si="1"/>
        <v>#N/A</v>
      </c>
      <c r="L57" t="s">
        <v>213</v>
      </c>
      <c r="M57" t="s">
        <v>216</v>
      </c>
    </row>
    <row r="58" spans="3:13" ht="33">
      <c r="C58" s="11" t="s">
        <v>147</v>
      </c>
      <c r="D58" s="6" t="s">
        <v>139</v>
      </c>
      <c r="E58" s="16" t="s">
        <v>60</v>
      </c>
      <c r="F58" s="17" t="s">
        <v>65</v>
      </c>
      <c r="G58" s="19">
        <v>242</v>
      </c>
      <c r="H58" s="6" t="s">
        <v>82</v>
      </c>
      <c r="I58" s="6" t="s">
        <v>82</v>
      </c>
      <c r="J58" s="23" t="e">
        <f t="shared" si="1"/>
        <v>#N/A</v>
      </c>
      <c r="L58" t="s">
        <v>214</v>
      </c>
      <c r="M58" t="s">
        <v>216</v>
      </c>
    </row>
    <row r="59" spans="3:13" ht="33">
      <c r="C59" s="30" t="s">
        <v>148</v>
      </c>
      <c r="D59" s="6" t="s">
        <v>138</v>
      </c>
      <c r="E59" s="16" t="s">
        <v>60</v>
      </c>
      <c r="F59" s="17" t="s">
        <v>65</v>
      </c>
      <c r="G59" s="21">
        <v>78</v>
      </c>
      <c r="H59" s="34" t="s">
        <v>181</v>
      </c>
      <c r="I59" s="34" t="s">
        <v>181</v>
      </c>
      <c r="J59" s="23" t="e">
        <f t="shared" si="1"/>
        <v>#N/A</v>
      </c>
      <c r="L59" t="s">
        <v>214</v>
      </c>
      <c r="M59" t="s">
        <v>216</v>
      </c>
    </row>
    <row r="60" spans="3:13">
      <c r="C60" s="6" t="s">
        <v>164</v>
      </c>
      <c r="D60" s="10" t="s">
        <v>149</v>
      </c>
      <c r="E60" s="16" t="s">
        <v>63</v>
      </c>
      <c r="F60" s="17" t="s">
        <v>103</v>
      </c>
      <c r="G60" s="20">
        <v>118</v>
      </c>
      <c r="H60" s="11" t="s">
        <v>166</v>
      </c>
      <c r="I60" s="4" t="s">
        <v>84</v>
      </c>
      <c r="J60" s="23" t="e">
        <f t="shared" si="1"/>
        <v>#N/A</v>
      </c>
      <c r="L60" t="s">
        <v>214</v>
      </c>
      <c r="M60" t="s">
        <v>217</v>
      </c>
    </row>
    <row r="61" spans="3:13">
      <c r="C61" s="6" t="s">
        <v>189</v>
      </c>
      <c r="D61" s="6" t="s">
        <v>150</v>
      </c>
      <c r="E61" s="16" t="s">
        <v>86</v>
      </c>
      <c r="F61" s="17"/>
      <c r="G61" s="20">
        <v>26</v>
      </c>
      <c r="H61" s="11" t="s">
        <v>184</v>
      </c>
      <c r="I61" s="34" t="s">
        <v>181</v>
      </c>
      <c r="J61" s="23" t="e">
        <f t="shared" si="1"/>
        <v>#N/A</v>
      </c>
      <c r="K61" s="35">
        <f>15000-504.61</f>
        <v>14495.39</v>
      </c>
      <c r="L61" s="35" t="s">
        <v>214</v>
      </c>
      <c r="M61" s="35" t="s">
        <v>215</v>
      </c>
    </row>
    <row r="62" spans="3:13">
      <c r="C62" s="6" t="s">
        <v>178</v>
      </c>
      <c r="D62" s="6" t="s">
        <v>151</v>
      </c>
      <c r="E62" s="16" t="s">
        <v>60</v>
      </c>
      <c r="F62" s="17" t="s">
        <v>105</v>
      </c>
      <c r="G62" s="19">
        <v>19</v>
      </c>
      <c r="H62" s="11" t="s">
        <v>168</v>
      </c>
      <c r="I62" s="34" t="s">
        <v>181</v>
      </c>
      <c r="J62" s="23" t="e">
        <f t="shared" si="1"/>
        <v>#N/A</v>
      </c>
      <c r="L62" t="s">
        <v>213</v>
      </c>
      <c r="M62" t="s">
        <v>216</v>
      </c>
    </row>
    <row r="63" spans="3:13">
      <c r="C63" s="6" t="s">
        <v>164</v>
      </c>
      <c r="D63" s="6" t="s">
        <v>152</v>
      </c>
      <c r="E63" s="16" t="s">
        <v>63</v>
      </c>
      <c r="F63" s="17" t="s">
        <v>64</v>
      </c>
      <c r="G63" s="20">
        <v>95</v>
      </c>
      <c r="H63" s="11" t="s">
        <v>166</v>
      </c>
      <c r="I63" s="34" t="s">
        <v>181</v>
      </c>
      <c r="J63" s="23" t="e">
        <f t="shared" si="1"/>
        <v>#N/A</v>
      </c>
      <c r="L63" t="s">
        <v>214</v>
      </c>
      <c r="M63" t="s">
        <v>217</v>
      </c>
    </row>
    <row r="64" spans="3:13">
      <c r="C64" s="6" t="s">
        <v>179</v>
      </c>
      <c r="D64" s="6" t="s">
        <v>153</v>
      </c>
      <c r="E64" s="16" t="s">
        <v>60</v>
      </c>
      <c r="F64" s="17" t="s">
        <v>105</v>
      </c>
      <c r="G64" s="19">
        <v>45</v>
      </c>
      <c r="H64" s="11" t="s">
        <v>183</v>
      </c>
      <c r="I64" s="34" t="s">
        <v>181</v>
      </c>
      <c r="J64" s="23" t="e">
        <f t="shared" si="1"/>
        <v>#N/A</v>
      </c>
      <c r="L64" t="s">
        <v>210</v>
      </c>
      <c r="M64" t="s">
        <v>219</v>
      </c>
    </row>
    <row r="65" spans="2:13">
      <c r="C65" s="6" t="s">
        <v>178</v>
      </c>
      <c r="D65" s="6" t="s">
        <v>154</v>
      </c>
      <c r="E65" s="16" t="s">
        <v>60</v>
      </c>
      <c r="F65" s="17" t="s">
        <v>105</v>
      </c>
      <c r="G65" s="20">
        <v>19</v>
      </c>
      <c r="H65" s="26" t="s">
        <v>168</v>
      </c>
      <c r="I65" s="34" t="s">
        <v>181</v>
      </c>
      <c r="J65" s="23" t="e">
        <f t="shared" si="1"/>
        <v>#N/A</v>
      </c>
      <c r="L65" t="s">
        <v>213</v>
      </c>
      <c r="M65" t="s">
        <v>216</v>
      </c>
    </row>
    <row r="66" spans="2:13">
      <c r="C66" s="6" t="s">
        <v>177</v>
      </c>
      <c r="D66" s="6" t="s">
        <v>155</v>
      </c>
      <c r="E66" s="16" t="s">
        <v>60</v>
      </c>
      <c r="F66" s="17" t="s">
        <v>105</v>
      </c>
      <c r="G66" s="19">
        <v>90</v>
      </c>
      <c r="H66" s="11" t="s">
        <v>182</v>
      </c>
      <c r="I66" s="34" t="s">
        <v>181</v>
      </c>
      <c r="J66" s="23" t="e">
        <f t="shared" si="1"/>
        <v>#N/A</v>
      </c>
      <c r="L66" t="s">
        <v>210</v>
      </c>
      <c r="M66" t="s">
        <v>218</v>
      </c>
    </row>
    <row r="67" spans="2:13" ht="49.5">
      <c r="C67" s="11" t="s">
        <v>175</v>
      </c>
      <c r="D67" s="6" t="s">
        <v>156</v>
      </c>
      <c r="E67" s="16" t="s">
        <v>60</v>
      </c>
      <c r="F67" s="17" t="s">
        <v>65</v>
      </c>
      <c r="G67" s="8">
        <v>40</v>
      </c>
      <c r="H67" s="26" t="s">
        <v>82</v>
      </c>
      <c r="I67" s="26" t="s">
        <v>82</v>
      </c>
      <c r="J67" s="23" t="e">
        <f t="shared" si="1"/>
        <v>#N/A</v>
      </c>
      <c r="L67" t="s">
        <v>214</v>
      </c>
      <c r="M67" t="s">
        <v>216</v>
      </c>
    </row>
    <row r="68" spans="2:13" ht="49.5">
      <c r="C68" s="11" t="s">
        <v>176</v>
      </c>
      <c r="D68" s="6" t="s">
        <v>22</v>
      </c>
      <c r="E68" s="16" t="s">
        <v>60</v>
      </c>
      <c r="F68" s="17" t="s">
        <v>65</v>
      </c>
      <c r="G68" s="19">
        <v>10</v>
      </c>
      <c r="H68" s="34" t="s">
        <v>181</v>
      </c>
      <c r="I68" s="34" t="s">
        <v>181</v>
      </c>
      <c r="J68" s="23" t="e">
        <f t="shared" si="1"/>
        <v>#N/A</v>
      </c>
      <c r="L68" t="s">
        <v>214</v>
      </c>
      <c r="M68" t="s">
        <v>216</v>
      </c>
    </row>
    <row r="69" spans="2:13">
      <c r="C69" s="6" t="s">
        <v>177</v>
      </c>
      <c r="D69" s="6" t="s">
        <v>155</v>
      </c>
      <c r="E69" s="16" t="s">
        <v>60</v>
      </c>
      <c r="F69" s="17" t="s">
        <v>105</v>
      </c>
      <c r="G69" s="8">
        <v>80</v>
      </c>
      <c r="H69" s="11" t="s">
        <v>182</v>
      </c>
      <c r="I69" s="4" t="s">
        <v>84</v>
      </c>
      <c r="J69" s="23" t="e">
        <f t="shared" si="1"/>
        <v>#N/A</v>
      </c>
      <c r="L69" t="s">
        <v>210</v>
      </c>
      <c r="M69" t="s">
        <v>218</v>
      </c>
    </row>
    <row r="70" spans="2:13" ht="19.5" thickBot="1">
      <c r="C70" s="6" t="s">
        <v>174</v>
      </c>
      <c r="D70" s="6" t="s">
        <v>157</v>
      </c>
      <c r="E70" s="16" t="s">
        <v>60</v>
      </c>
      <c r="F70" s="17" t="s">
        <v>61</v>
      </c>
      <c r="G70" s="8">
        <v>53</v>
      </c>
      <c r="H70" s="4" t="s">
        <v>169</v>
      </c>
      <c r="I70" s="34" t="s">
        <v>181</v>
      </c>
      <c r="J70" s="23" t="e">
        <f t="shared" si="1"/>
        <v>#N/A</v>
      </c>
      <c r="L70" t="s">
        <v>210</v>
      </c>
      <c r="M70" t="s">
        <v>215</v>
      </c>
    </row>
    <row r="71" spans="2:13">
      <c r="B71" s="3">
        <v>45904</v>
      </c>
      <c r="C71" s="4" t="s">
        <v>187</v>
      </c>
      <c r="D71" s="13" t="s">
        <v>162</v>
      </c>
      <c r="E71" s="15" t="s">
        <v>60</v>
      </c>
      <c r="F71" s="14" t="s">
        <v>104</v>
      </c>
      <c r="G71" s="19">
        <v>94</v>
      </c>
      <c r="H71" s="4" t="s">
        <v>169</v>
      </c>
      <c r="I71" s="4" t="s">
        <v>180</v>
      </c>
      <c r="J71" s="23" t="e">
        <f>IF(OR(E71="",D71="",G71=""), "", (G71/1000)*VLOOKUP(E71,$A$27:$B$30,2,FALSE) + IF(ISNUMBER(FIND("h",D71)), VALUE(LEFT(D71,FIND("h",D71)-1)) + VALUE(MID(D71,FIND("h",D71)+2,FIND("m",D71)-FIND("h",D71)-3))/60, VALUE(TRIM(LEFT(D71,FIND("m",D71)-1)))/60)*15)</f>
        <v>#N/A</v>
      </c>
      <c r="L71" t="s">
        <v>213</v>
      </c>
      <c r="M71" t="s">
        <v>215</v>
      </c>
    </row>
    <row r="72" spans="2:13">
      <c r="B72" s="5">
        <v>45905</v>
      </c>
      <c r="C72" s="6" t="s">
        <v>188</v>
      </c>
      <c r="D72" s="6" t="s">
        <v>161</v>
      </c>
      <c r="E72" s="16" t="s">
        <v>60</v>
      </c>
      <c r="F72" s="29" t="s">
        <v>61</v>
      </c>
      <c r="G72" s="20">
        <v>212</v>
      </c>
      <c r="H72" s="34" t="s">
        <v>181</v>
      </c>
      <c r="I72" s="34" t="s">
        <v>181</v>
      </c>
      <c r="J72" s="23" t="e">
        <f t="shared" ref="J72:J93" si="2">IF(OR(E72="",D72="",G72=""), "", (G72/1000)*VLOOKUP(E72,$A$27:$B$30,2,FALSE) + IF(ISNUMBER(FIND("h",D72)), VALUE(LEFT(D72,FIND("h",D72)-1)) + VALUE(MID(D72,FIND("h",D72)+2,FIND("m",D72)-FIND("h",D72)-3))/60, VALUE(TRIM(LEFT(D72,FIND("m",D72)-1)))/60)*15)</f>
        <v>#N/A</v>
      </c>
      <c r="L72" t="s">
        <v>210</v>
      </c>
      <c r="M72" t="s">
        <v>216</v>
      </c>
    </row>
    <row r="73" spans="2:13">
      <c r="B73" s="5">
        <v>45908</v>
      </c>
      <c r="C73" s="6" t="s">
        <v>173</v>
      </c>
      <c r="D73" s="6" t="s">
        <v>160</v>
      </c>
      <c r="E73" s="16" t="s">
        <v>60</v>
      </c>
      <c r="F73" s="29" t="s">
        <v>62</v>
      </c>
      <c r="G73" s="19">
        <v>29</v>
      </c>
      <c r="H73" s="34" t="s">
        <v>181</v>
      </c>
      <c r="I73" s="34" t="s">
        <v>181</v>
      </c>
      <c r="J73" s="23" t="e">
        <f t="shared" si="2"/>
        <v>#N/A</v>
      </c>
      <c r="L73" t="s">
        <v>210</v>
      </c>
      <c r="M73" t="s">
        <v>216</v>
      </c>
    </row>
    <row r="74" spans="2:13">
      <c r="B74" s="5">
        <v>45908</v>
      </c>
      <c r="C74" s="6" t="s">
        <v>172</v>
      </c>
      <c r="D74" s="6" t="s">
        <v>159</v>
      </c>
      <c r="E74" s="16" t="s">
        <v>63</v>
      </c>
      <c r="F74" s="29" t="s">
        <v>64</v>
      </c>
      <c r="G74" s="20">
        <v>120</v>
      </c>
      <c r="H74" s="34" t="s">
        <v>181</v>
      </c>
      <c r="I74" s="34" t="s">
        <v>181</v>
      </c>
      <c r="J74" s="23" t="e">
        <f t="shared" si="2"/>
        <v>#N/A</v>
      </c>
      <c r="L74" t="s">
        <v>210</v>
      </c>
      <c r="M74" t="s">
        <v>216</v>
      </c>
    </row>
    <row r="75" spans="2:13">
      <c r="B75" s="5">
        <v>45909</v>
      </c>
      <c r="C75" s="6" t="s">
        <v>171</v>
      </c>
      <c r="D75" s="6" t="s">
        <v>48</v>
      </c>
      <c r="E75" s="16" t="s">
        <v>60</v>
      </c>
      <c r="F75" s="29" t="s">
        <v>105</v>
      </c>
      <c r="G75" s="20">
        <v>69</v>
      </c>
      <c r="H75" s="34" t="s">
        <v>181</v>
      </c>
      <c r="I75" s="34" t="s">
        <v>181</v>
      </c>
      <c r="J75" s="23" t="e">
        <f t="shared" si="2"/>
        <v>#N/A</v>
      </c>
      <c r="L75" t="s">
        <v>211</v>
      </c>
      <c r="M75" t="s">
        <v>215</v>
      </c>
    </row>
    <row r="76" spans="2:13">
      <c r="B76" s="5">
        <v>45910</v>
      </c>
      <c r="C76" s="6" t="s">
        <v>170</v>
      </c>
      <c r="D76" s="6" t="s">
        <v>158</v>
      </c>
      <c r="E76" s="16" t="s">
        <v>60</v>
      </c>
      <c r="F76" s="29" t="s">
        <v>103</v>
      </c>
      <c r="G76" s="19">
        <v>69</v>
      </c>
      <c r="H76" s="34" t="s">
        <v>181</v>
      </c>
      <c r="I76" s="34" t="s">
        <v>181</v>
      </c>
      <c r="J76" s="23" t="e">
        <f t="shared" si="2"/>
        <v>#N/A</v>
      </c>
      <c r="K76" s="36">
        <f>4600-203.2</f>
        <v>4396.8</v>
      </c>
      <c r="L76" s="36" t="s">
        <v>214</v>
      </c>
      <c r="M76" s="36" t="s">
        <v>215</v>
      </c>
    </row>
    <row r="77" spans="2:13">
      <c r="B77" s="5">
        <v>45916</v>
      </c>
      <c r="C77" s="6" t="s">
        <v>190</v>
      </c>
      <c r="D77" s="6" t="s">
        <v>100</v>
      </c>
      <c r="E77" s="16" t="s">
        <v>60</v>
      </c>
      <c r="F77" s="29" t="s">
        <v>61</v>
      </c>
      <c r="G77" s="20">
        <v>10</v>
      </c>
      <c r="H77" s="25"/>
      <c r="I77" s="6" t="s">
        <v>82</v>
      </c>
      <c r="J77" s="23" t="e">
        <f t="shared" si="2"/>
        <v>#N/A</v>
      </c>
      <c r="L77" t="s">
        <v>35</v>
      </c>
      <c r="M77" t="s">
        <v>216</v>
      </c>
    </row>
    <row r="78" spans="2:13" ht="33">
      <c r="B78" s="5">
        <v>45916</v>
      </c>
      <c r="C78" s="6" t="s">
        <v>191</v>
      </c>
      <c r="D78" s="6" t="s">
        <v>91</v>
      </c>
      <c r="E78" s="16" t="s">
        <v>60</v>
      </c>
      <c r="F78" s="29" t="s">
        <v>65</v>
      </c>
      <c r="G78" s="19">
        <v>114</v>
      </c>
      <c r="H78" s="11" t="s">
        <v>192</v>
      </c>
      <c r="I78" s="6" t="s">
        <v>193</v>
      </c>
      <c r="J78" s="23" t="e">
        <f t="shared" si="2"/>
        <v>#N/A</v>
      </c>
      <c r="L78" t="s">
        <v>214</v>
      </c>
      <c r="M78" t="s">
        <v>216</v>
      </c>
    </row>
    <row r="79" spans="2:13">
      <c r="B79" s="5">
        <v>45917</v>
      </c>
      <c r="C79" s="6" t="s">
        <v>190</v>
      </c>
      <c r="D79" s="6" t="s">
        <v>93</v>
      </c>
      <c r="E79" s="16" t="s">
        <v>66</v>
      </c>
      <c r="F79" s="29" t="s">
        <v>61</v>
      </c>
      <c r="G79" s="20">
        <v>10</v>
      </c>
      <c r="H79" s="25"/>
      <c r="I79" s="6" t="s">
        <v>82</v>
      </c>
      <c r="J79" s="23" t="e">
        <f t="shared" si="2"/>
        <v>#N/A</v>
      </c>
      <c r="L79" t="s">
        <v>35</v>
      </c>
      <c r="M79" t="s">
        <v>216</v>
      </c>
    </row>
    <row r="80" spans="2:13">
      <c r="B80" s="5">
        <v>45917</v>
      </c>
      <c r="C80" s="6" t="s">
        <v>194</v>
      </c>
      <c r="D80" s="6" t="s">
        <v>97</v>
      </c>
      <c r="E80" s="16" t="s">
        <v>66</v>
      </c>
      <c r="F80" s="29" t="s">
        <v>61</v>
      </c>
      <c r="G80" s="19">
        <v>1</v>
      </c>
      <c r="H80" s="11"/>
      <c r="I80" s="6" t="s">
        <v>82</v>
      </c>
      <c r="J80" s="23" t="e">
        <f t="shared" si="2"/>
        <v>#N/A</v>
      </c>
      <c r="L80" t="s">
        <v>35</v>
      </c>
      <c r="M80" t="s">
        <v>216</v>
      </c>
    </row>
    <row r="81" spans="2:13">
      <c r="B81" s="5">
        <v>45918</v>
      </c>
      <c r="C81" s="6" t="s">
        <v>195</v>
      </c>
      <c r="D81" s="10" t="s">
        <v>196</v>
      </c>
      <c r="E81" s="16" t="s">
        <v>60</v>
      </c>
      <c r="F81" s="29" t="s">
        <v>65</v>
      </c>
      <c r="G81" s="20">
        <v>363</v>
      </c>
      <c r="H81" s="11" t="s">
        <v>197</v>
      </c>
      <c r="I81" s="6" t="s">
        <v>82</v>
      </c>
      <c r="J81" s="23" t="e">
        <f t="shared" si="2"/>
        <v>#N/A</v>
      </c>
      <c r="L81" t="s">
        <v>214</v>
      </c>
      <c r="M81" t="s">
        <v>216</v>
      </c>
    </row>
    <row r="82" spans="2:13">
      <c r="B82" s="5">
        <v>45931</v>
      </c>
      <c r="C82" s="6" t="s">
        <v>198</v>
      </c>
      <c r="D82" s="6" t="s">
        <v>199</v>
      </c>
      <c r="E82" s="16" t="s">
        <v>60</v>
      </c>
      <c r="F82" s="29" t="s">
        <v>103</v>
      </c>
      <c r="G82" s="21">
        <v>48</v>
      </c>
      <c r="H82" s="11" t="s">
        <v>200</v>
      </c>
      <c r="I82" s="6" t="s">
        <v>129</v>
      </c>
      <c r="J82" s="23" t="e">
        <f t="shared" si="2"/>
        <v>#N/A</v>
      </c>
      <c r="L82" t="s">
        <v>213</v>
      </c>
      <c r="M82" t="s">
        <v>216</v>
      </c>
    </row>
    <row r="83" spans="2:13" ht="33">
      <c r="B83" s="5">
        <v>45918</v>
      </c>
      <c r="C83" s="6" t="s">
        <v>191</v>
      </c>
      <c r="D83" s="6" t="s">
        <v>201</v>
      </c>
      <c r="E83" s="16"/>
      <c r="F83" s="29" t="s">
        <v>65</v>
      </c>
      <c r="G83" s="19">
        <v>114</v>
      </c>
      <c r="H83" s="11" t="s">
        <v>192</v>
      </c>
      <c r="I83" s="6" t="s">
        <v>193</v>
      </c>
      <c r="J83" s="23" t="str">
        <f t="shared" si="2"/>
        <v/>
      </c>
      <c r="L83" t="s">
        <v>214</v>
      </c>
      <c r="M83" t="s">
        <v>216</v>
      </c>
    </row>
    <row r="84" spans="2:13" ht="33">
      <c r="B84" s="5">
        <v>45918</v>
      </c>
      <c r="C84" s="6" t="s">
        <v>203</v>
      </c>
      <c r="D84" s="6" t="s">
        <v>204</v>
      </c>
      <c r="E84" s="16" t="s">
        <v>60</v>
      </c>
      <c r="F84" s="29" t="s">
        <v>65</v>
      </c>
      <c r="G84" s="19">
        <v>42</v>
      </c>
      <c r="H84" s="11" t="s">
        <v>192</v>
      </c>
      <c r="I84" s="6" t="s">
        <v>193</v>
      </c>
      <c r="J84" s="23" t="e">
        <f t="shared" si="2"/>
        <v>#N/A</v>
      </c>
      <c r="L84" t="s">
        <v>214</v>
      </c>
      <c r="M84" t="s">
        <v>216</v>
      </c>
    </row>
    <row r="85" spans="2:13" ht="33">
      <c r="B85" s="5">
        <v>45919</v>
      </c>
      <c r="C85" s="6" t="s">
        <v>205</v>
      </c>
      <c r="D85" s="6" t="s">
        <v>206</v>
      </c>
      <c r="E85" s="16" t="s">
        <v>60</v>
      </c>
      <c r="F85" s="29"/>
      <c r="G85" s="19">
        <v>35</v>
      </c>
      <c r="H85" s="11" t="s">
        <v>8</v>
      </c>
      <c r="I85" s="6" t="s">
        <v>193</v>
      </c>
      <c r="J85" s="23" t="e">
        <f t="shared" si="2"/>
        <v>#N/A</v>
      </c>
      <c r="L85" t="s">
        <v>35</v>
      </c>
      <c r="M85" t="s">
        <v>216</v>
      </c>
    </row>
    <row r="86" spans="2:13">
      <c r="B86" s="5">
        <v>45925</v>
      </c>
      <c r="C86" s="6" t="s">
        <v>207</v>
      </c>
      <c r="D86" s="6" t="s">
        <v>137</v>
      </c>
      <c r="E86" s="16" t="s">
        <v>60</v>
      </c>
      <c r="F86" s="29" t="s">
        <v>103</v>
      </c>
      <c r="G86" s="20">
        <v>3</v>
      </c>
      <c r="H86" s="11" t="s">
        <v>208</v>
      </c>
      <c r="I86" s="6" t="s">
        <v>193</v>
      </c>
      <c r="J86" s="23" t="e">
        <f t="shared" si="2"/>
        <v>#N/A</v>
      </c>
      <c r="L86" t="s">
        <v>213</v>
      </c>
      <c r="M86" t="s">
        <v>216</v>
      </c>
    </row>
    <row r="87" spans="2:13" ht="33">
      <c r="B87" s="5">
        <v>45931</v>
      </c>
      <c r="C87" s="6" t="s">
        <v>81</v>
      </c>
      <c r="D87" s="6" t="s">
        <v>22</v>
      </c>
      <c r="E87" s="16" t="s">
        <v>60</v>
      </c>
      <c r="F87" s="29" t="s">
        <v>221</v>
      </c>
      <c r="G87" s="19">
        <v>5</v>
      </c>
      <c r="H87" s="11" t="s">
        <v>8</v>
      </c>
      <c r="I87" s="6" t="s">
        <v>193</v>
      </c>
      <c r="J87" s="23" t="e">
        <f t="shared" si="2"/>
        <v>#N/A</v>
      </c>
      <c r="L87" t="s">
        <v>213</v>
      </c>
      <c r="M87" t="s">
        <v>216</v>
      </c>
    </row>
    <row r="88" spans="2:13">
      <c r="B88" s="5">
        <v>45931</v>
      </c>
      <c r="C88" s="6" t="s">
        <v>198</v>
      </c>
      <c r="D88" s="6" t="s">
        <v>223</v>
      </c>
      <c r="E88" s="16" t="s">
        <v>60</v>
      </c>
      <c r="F88" s="29" t="s">
        <v>103</v>
      </c>
      <c r="G88" s="20">
        <v>59.2</v>
      </c>
      <c r="H88" s="6" t="s">
        <v>230</v>
      </c>
      <c r="I88" s="6" t="s">
        <v>222</v>
      </c>
      <c r="J88" s="23" t="e">
        <f t="shared" si="2"/>
        <v>#N/A</v>
      </c>
      <c r="L88" t="s">
        <v>213</v>
      </c>
      <c r="M88" t="s">
        <v>216</v>
      </c>
    </row>
    <row r="89" spans="2:13">
      <c r="B89" s="5">
        <v>45932</v>
      </c>
      <c r="C89" s="6" t="s">
        <v>181</v>
      </c>
      <c r="D89" s="6" t="s">
        <v>224</v>
      </c>
      <c r="E89" s="16" t="s">
        <v>60</v>
      </c>
      <c r="F89" s="29" t="s">
        <v>103</v>
      </c>
      <c r="G89" s="19">
        <v>75.5</v>
      </c>
      <c r="H89" s="26" t="s">
        <v>226</v>
      </c>
      <c r="I89" s="6" t="s">
        <v>222</v>
      </c>
      <c r="J89" s="23" t="e">
        <f t="shared" si="2"/>
        <v>#N/A</v>
      </c>
      <c r="L89" t="s">
        <v>213</v>
      </c>
      <c r="M89" t="s">
        <v>216</v>
      </c>
    </row>
    <row r="90" spans="2:13">
      <c r="B90" s="5">
        <v>45932</v>
      </c>
      <c r="C90" s="6" t="s">
        <v>267</v>
      </c>
      <c r="D90" s="6" t="s">
        <v>225</v>
      </c>
      <c r="E90" s="16" t="s">
        <v>60</v>
      </c>
      <c r="F90" s="29" t="s">
        <v>65</v>
      </c>
      <c r="G90" s="8">
        <v>235</v>
      </c>
      <c r="H90" s="6"/>
      <c r="I90" s="6" t="s">
        <v>222</v>
      </c>
      <c r="J90" s="23" t="e">
        <f t="shared" si="2"/>
        <v>#N/A</v>
      </c>
      <c r="L90" t="s">
        <v>35</v>
      </c>
      <c r="M90" t="s">
        <v>216</v>
      </c>
    </row>
    <row r="91" spans="2:13">
      <c r="B91" s="5">
        <v>45936</v>
      </c>
      <c r="C91" s="6" t="s">
        <v>229</v>
      </c>
      <c r="D91" s="6" t="s">
        <v>101</v>
      </c>
      <c r="E91" s="16" t="s">
        <v>60</v>
      </c>
      <c r="F91" s="29" t="s">
        <v>65</v>
      </c>
      <c r="G91" s="19">
        <v>13</v>
      </c>
      <c r="H91" s="6" t="s">
        <v>35</v>
      </c>
      <c r="I91" s="6" t="s">
        <v>193</v>
      </c>
      <c r="J91" s="23" t="e">
        <f t="shared" si="2"/>
        <v>#N/A</v>
      </c>
      <c r="L91" t="s">
        <v>35</v>
      </c>
      <c r="M91" t="s">
        <v>216</v>
      </c>
    </row>
    <row r="92" spans="2:13">
      <c r="B92" s="5">
        <v>45938</v>
      </c>
      <c r="C92" s="6" t="s">
        <v>228</v>
      </c>
      <c r="D92" s="6" t="s">
        <v>227</v>
      </c>
      <c r="E92" s="16" t="s">
        <v>60</v>
      </c>
      <c r="F92" s="29" t="s">
        <v>65</v>
      </c>
      <c r="G92" s="8">
        <v>55</v>
      </c>
      <c r="H92" s="11" t="s">
        <v>35</v>
      </c>
      <c r="I92" s="6" t="s">
        <v>181</v>
      </c>
      <c r="J92" s="23" t="e">
        <f t="shared" si="2"/>
        <v>#N/A</v>
      </c>
      <c r="L92" t="s">
        <v>35</v>
      </c>
      <c r="M92" t="s">
        <v>216</v>
      </c>
    </row>
    <row r="93" spans="2:13" ht="19.5" thickBot="1">
      <c r="B93" s="5">
        <v>45938</v>
      </c>
      <c r="C93" s="6" t="s">
        <v>251</v>
      </c>
      <c r="D93" s="6" t="s">
        <v>101</v>
      </c>
      <c r="E93" s="16" t="s">
        <v>60</v>
      </c>
      <c r="F93" s="29" t="s">
        <v>103</v>
      </c>
      <c r="G93" s="8">
        <v>9</v>
      </c>
      <c r="H93" s="11" t="s">
        <v>252</v>
      </c>
      <c r="I93" s="6" t="s">
        <v>181</v>
      </c>
      <c r="J93" s="23" t="e">
        <f t="shared" si="2"/>
        <v>#N/A</v>
      </c>
      <c r="L93" t="s">
        <v>214</v>
      </c>
      <c r="M93" t="s">
        <v>216</v>
      </c>
    </row>
    <row r="94" spans="2:13">
      <c r="B94" s="3">
        <v>45943</v>
      </c>
      <c r="C94" s="4" t="s">
        <v>245</v>
      </c>
      <c r="D94" s="13" t="s">
        <v>239</v>
      </c>
      <c r="E94" s="15" t="s">
        <v>60</v>
      </c>
      <c r="F94" s="14" t="s">
        <v>246</v>
      </c>
      <c r="G94" s="19">
        <v>87</v>
      </c>
      <c r="H94" s="4"/>
      <c r="I94" s="4" t="s">
        <v>222</v>
      </c>
      <c r="J94" s="23" t="e">
        <f>IF(OR(E94="",D94="",G94=""), "", (G94/1000)*VLOOKUP(E94,$A$27:$B$30,2,FALSE) + IF(ISNUMBER(FIND("h",D94)), VALUE(LEFT(D94,FIND("h",D94)-1)) + VALUE(MID(D94,FIND("h",D94)+2,FIND("m",D94)-FIND("h",D94)-3))/60, VALUE(TRIM(LEFT(D94,FIND("m",D94)-1)))/60)*15)</f>
        <v>#N/A</v>
      </c>
      <c r="L94" t="s">
        <v>213</v>
      </c>
      <c r="M94" t="s">
        <v>216</v>
      </c>
    </row>
    <row r="95" spans="2:13">
      <c r="B95" s="5">
        <v>45945</v>
      </c>
      <c r="C95" s="6" t="s">
        <v>231</v>
      </c>
      <c r="D95" s="6" t="s">
        <v>232</v>
      </c>
      <c r="E95" s="16" t="s">
        <v>60</v>
      </c>
      <c r="F95" s="29" t="s">
        <v>65</v>
      </c>
      <c r="G95" s="20"/>
      <c r="H95" s="6" t="s">
        <v>262</v>
      </c>
      <c r="I95" s="6" t="s">
        <v>84</v>
      </c>
      <c r="J95" s="23" t="str">
        <f t="shared" ref="J95:J104" si="3">IF(OR(E95="",D95="",G95=""), "", (G95/1000)*VLOOKUP(E95,$A$27:$B$30,2,FALSE) + IF(ISNUMBER(FIND("h",D95)), VALUE(LEFT(D95,FIND("h",D95)-1)) + VALUE(MID(D95,FIND("h",D95)+2,FIND("m",D95)-FIND("h",D95)-3))/60, VALUE(TRIM(LEFT(D95,FIND("m",D95)-1)))/60)*15)</f>
        <v/>
      </c>
      <c r="L95" t="s">
        <v>214</v>
      </c>
      <c r="M95" t="s">
        <v>216</v>
      </c>
    </row>
    <row r="96" spans="2:13" ht="37.5">
      <c r="B96" s="5">
        <v>45950</v>
      </c>
      <c r="C96" s="25" t="s">
        <v>259</v>
      </c>
      <c r="D96" s="6" t="s">
        <v>236</v>
      </c>
      <c r="E96" s="16" t="s">
        <v>63</v>
      </c>
      <c r="F96" s="29"/>
      <c r="G96" s="19">
        <v>10</v>
      </c>
      <c r="H96" s="11" t="s">
        <v>263</v>
      </c>
      <c r="I96" s="6" t="s">
        <v>181</v>
      </c>
      <c r="J96" s="23" t="e">
        <f t="shared" si="3"/>
        <v>#N/A</v>
      </c>
      <c r="L96" t="s">
        <v>211</v>
      </c>
      <c r="M96" t="s">
        <v>215</v>
      </c>
    </row>
    <row r="97" spans="2:13" ht="37.5">
      <c r="B97" s="5">
        <v>45951</v>
      </c>
      <c r="C97" s="25" t="s">
        <v>259</v>
      </c>
      <c r="D97" s="6" t="s">
        <v>237</v>
      </c>
      <c r="E97" s="16" t="s">
        <v>63</v>
      </c>
      <c r="F97" s="29" t="s">
        <v>103</v>
      </c>
      <c r="G97" s="20">
        <v>13</v>
      </c>
      <c r="H97" s="11" t="s">
        <v>181</v>
      </c>
      <c r="I97" s="6" t="s">
        <v>181</v>
      </c>
      <c r="J97" s="23" t="e">
        <f t="shared" si="3"/>
        <v>#N/A</v>
      </c>
      <c r="L97" t="s">
        <v>211</v>
      </c>
      <c r="M97" t="s">
        <v>215</v>
      </c>
    </row>
    <row r="98" spans="2:13">
      <c r="B98" s="5">
        <v>45951</v>
      </c>
      <c r="C98" s="6" t="s">
        <v>248</v>
      </c>
      <c r="D98" s="6" t="s">
        <v>24</v>
      </c>
      <c r="E98" s="16" t="s">
        <v>60</v>
      </c>
      <c r="F98" s="29" t="s">
        <v>62</v>
      </c>
      <c r="G98" s="20">
        <v>2</v>
      </c>
      <c r="H98" s="25" t="s">
        <v>181</v>
      </c>
      <c r="I98" s="6" t="s">
        <v>181</v>
      </c>
      <c r="J98" s="23" t="e">
        <f t="shared" si="3"/>
        <v>#N/A</v>
      </c>
      <c r="L98" t="s">
        <v>211</v>
      </c>
      <c r="M98" t="s">
        <v>215</v>
      </c>
    </row>
    <row r="99" spans="2:13" ht="37.5">
      <c r="B99" s="5">
        <v>45954</v>
      </c>
      <c r="C99" s="6" t="s">
        <v>258</v>
      </c>
      <c r="D99" s="6" t="s">
        <v>238</v>
      </c>
      <c r="E99" s="16" t="s">
        <v>60</v>
      </c>
      <c r="F99" s="29" t="s">
        <v>65</v>
      </c>
      <c r="G99" s="19">
        <v>97</v>
      </c>
      <c r="H99" s="25" t="s">
        <v>264</v>
      </c>
      <c r="I99" s="6" t="s">
        <v>82</v>
      </c>
      <c r="J99" s="23" t="e">
        <f t="shared" si="3"/>
        <v>#N/A</v>
      </c>
      <c r="L99" t="s">
        <v>210</v>
      </c>
      <c r="M99" t="s">
        <v>218</v>
      </c>
    </row>
    <row r="100" spans="2:13" ht="37.5">
      <c r="B100" s="5">
        <v>45954</v>
      </c>
      <c r="C100" s="25" t="s">
        <v>268</v>
      </c>
      <c r="D100" s="6" t="s">
        <v>237</v>
      </c>
      <c r="E100" s="16" t="s">
        <v>63</v>
      </c>
      <c r="F100" s="29" t="s">
        <v>64</v>
      </c>
      <c r="G100" s="20">
        <v>13</v>
      </c>
      <c r="H100" s="25"/>
      <c r="I100" s="6" t="s">
        <v>84</v>
      </c>
      <c r="J100" s="23" t="e">
        <f t="shared" si="3"/>
        <v>#N/A</v>
      </c>
      <c r="L100" t="s">
        <v>211</v>
      </c>
      <c r="M100" t="s">
        <v>215</v>
      </c>
    </row>
    <row r="101" spans="2:13">
      <c r="B101" s="5">
        <v>45959</v>
      </c>
      <c r="C101" s="6" t="s">
        <v>269</v>
      </c>
      <c r="D101" s="6" t="s">
        <v>240</v>
      </c>
      <c r="E101" s="16" t="s">
        <v>60</v>
      </c>
      <c r="F101" s="29" t="s">
        <v>65</v>
      </c>
      <c r="G101" s="19"/>
      <c r="H101" s="11" t="s">
        <v>210</v>
      </c>
      <c r="I101" s="6" t="s">
        <v>84</v>
      </c>
      <c r="J101" s="23" t="str">
        <f t="shared" si="3"/>
        <v/>
      </c>
      <c r="L101" t="s">
        <v>213</v>
      </c>
      <c r="M101" t="s">
        <v>216</v>
      </c>
    </row>
    <row r="102" spans="2:13" ht="33">
      <c r="B102" s="5">
        <v>45959</v>
      </c>
      <c r="C102" s="6" t="s">
        <v>258</v>
      </c>
      <c r="D102" s="6" t="s">
        <v>238</v>
      </c>
      <c r="E102" s="16" t="s">
        <v>60</v>
      </c>
      <c r="F102" s="29" t="s">
        <v>65</v>
      </c>
      <c r="G102" s="20">
        <v>97</v>
      </c>
      <c r="H102" s="11" t="s">
        <v>264</v>
      </c>
      <c r="I102" s="6" t="s">
        <v>82</v>
      </c>
      <c r="J102" s="23" t="e">
        <f t="shared" si="3"/>
        <v>#N/A</v>
      </c>
      <c r="L102" t="s">
        <v>210</v>
      </c>
      <c r="M102" t="s">
        <v>218</v>
      </c>
    </row>
    <row r="103" spans="2:13">
      <c r="B103" s="5">
        <v>45960</v>
      </c>
      <c r="C103" s="6" t="s">
        <v>258</v>
      </c>
      <c r="D103" s="6" t="s">
        <v>238</v>
      </c>
      <c r="E103" s="16" t="s">
        <v>60</v>
      </c>
      <c r="F103" s="29" t="s">
        <v>65</v>
      </c>
      <c r="G103" s="19">
        <v>97</v>
      </c>
      <c r="H103" s="11" t="s">
        <v>181</v>
      </c>
      <c r="I103" s="6"/>
      <c r="J103" s="23" t="e">
        <f t="shared" si="3"/>
        <v>#N/A</v>
      </c>
      <c r="L103" t="s">
        <v>210</v>
      </c>
      <c r="M103" t="s">
        <v>218</v>
      </c>
    </row>
    <row r="104" spans="2:13">
      <c r="B104" s="5">
        <v>45961</v>
      </c>
      <c r="C104" s="6" t="s">
        <v>261</v>
      </c>
      <c r="D104" s="10" t="s">
        <v>241</v>
      </c>
      <c r="E104" s="16" t="s">
        <v>266</v>
      </c>
      <c r="F104" s="29"/>
      <c r="G104" s="20">
        <v>11</v>
      </c>
      <c r="H104" s="11" t="s">
        <v>265</v>
      </c>
      <c r="I104" s="6"/>
      <c r="J104" s="23" t="e">
        <f t="shared" si="3"/>
        <v>#N/A</v>
      </c>
      <c r="L104" t="s">
        <v>214</v>
      </c>
      <c r="M104" t="s">
        <v>215</v>
      </c>
    </row>
    <row r="105" spans="2:13" ht="30" customHeight="1">
      <c r="B105" s="5">
        <v>45964</v>
      </c>
      <c r="C105" s="6" t="s">
        <v>181</v>
      </c>
      <c r="D105" s="6" t="s">
        <v>242</v>
      </c>
      <c r="E105" s="16" t="s">
        <v>86</v>
      </c>
      <c r="F105" s="29"/>
      <c r="G105" s="21">
        <v>11</v>
      </c>
      <c r="H105" s="11" t="s">
        <v>181</v>
      </c>
      <c r="I105" s="6"/>
      <c r="J105" s="23" t="e">
        <f t="shared" ref="J105:J115" si="4">IF(OR(E105="",D105="",G105=""), "", (G105/1000)*VLOOKUP(E105,$A$27:$B$30,2,FALSE) + IF(ISNUMBER(FIND("h",D105)), VALUE(LEFT(D105,FIND("h",D105)-1)) + VALUE(MID(D105,FIND("h",D105)+2,FIND("m",D105)-FIND("h",D105)-3))/60, VALUE(TRIM(LEFT(D105,FIND("m",D105)-1)))/60)*15)</f>
        <v>#N/A</v>
      </c>
      <c r="L105" t="s">
        <v>214</v>
      </c>
      <c r="M105" t="s">
        <v>215</v>
      </c>
    </row>
    <row r="106" spans="2:13" ht="30" customHeight="1">
      <c r="B106" s="5">
        <v>45965</v>
      </c>
      <c r="C106" s="6" t="s">
        <v>258</v>
      </c>
      <c r="D106" s="6" t="s">
        <v>238</v>
      </c>
      <c r="E106" s="16" t="s">
        <v>60</v>
      </c>
      <c r="F106" s="29" t="s">
        <v>65</v>
      </c>
      <c r="G106" s="19">
        <v>97</v>
      </c>
      <c r="H106" s="11" t="s">
        <v>264</v>
      </c>
      <c r="I106" s="6"/>
      <c r="J106" s="23" t="e">
        <f t="shared" si="4"/>
        <v>#N/A</v>
      </c>
      <c r="L106" t="s">
        <v>210</v>
      </c>
      <c r="M106" t="s">
        <v>218</v>
      </c>
    </row>
    <row r="107" spans="2:13" ht="30" customHeight="1">
      <c r="B107" s="5">
        <v>45967</v>
      </c>
      <c r="C107" s="6" t="s">
        <v>270</v>
      </c>
      <c r="D107" s="6" t="s">
        <v>243</v>
      </c>
      <c r="E107" s="16" t="s">
        <v>60</v>
      </c>
      <c r="F107" s="29" t="s">
        <v>65</v>
      </c>
      <c r="G107" s="20">
        <v>36</v>
      </c>
      <c r="H107" s="11" t="s">
        <v>210</v>
      </c>
      <c r="I107" s="6"/>
      <c r="J107" s="23" t="e">
        <f t="shared" si="4"/>
        <v>#N/A</v>
      </c>
      <c r="L107" t="s">
        <v>35</v>
      </c>
      <c r="M107" t="s">
        <v>216</v>
      </c>
    </row>
    <row r="108" spans="2:13" ht="30" customHeight="1">
      <c r="B108" s="5">
        <v>45972</v>
      </c>
      <c r="C108" s="6" t="s">
        <v>257</v>
      </c>
      <c r="D108" s="6" t="s">
        <v>244</v>
      </c>
      <c r="E108" s="16" t="s">
        <v>63</v>
      </c>
      <c r="F108" s="29" t="s">
        <v>103</v>
      </c>
      <c r="G108" s="19">
        <v>161</v>
      </c>
      <c r="H108" s="11" t="s">
        <v>81</v>
      </c>
      <c r="I108" s="6"/>
      <c r="J108" s="23" t="e">
        <f t="shared" si="4"/>
        <v>#N/A</v>
      </c>
      <c r="L108" t="s">
        <v>214</v>
      </c>
      <c r="M108" t="s">
        <v>216</v>
      </c>
    </row>
    <row r="109" spans="2:13" ht="30" customHeight="1">
      <c r="B109" s="5">
        <v>45974</v>
      </c>
      <c r="C109" s="6" t="s">
        <v>256</v>
      </c>
      <c r="D109" s="6" t="s">
        <v>99</v>
      </c>
      <c r="E109" s="16" t="s">
        <v>63</v>
      </c>
      <c r="F109" s="29"/>
      <c r="G109" s="20">
        <v>20</v>
      </c>
      <c r="H109" s="11"/>
      <c r="I109" s="6"/>
      <c r="J109" s="23" t="e">
        <f t="shared" si="4"/>
        <v>#N/A</v>
      </c>
      <c r="L109" t="s">
        <v>214</v>
      </c>
      <c r="M109" t="s">
        <v>215</v>
      </c>
    </row>
    <row r="110" spans="2:13" ht="30" customHeight="1">
      <c r="B110" s="5">
        <v>45974</v>
      </c>
      <c r="C110" s="40" t="s">
        <v>253</v>
      </c>
      <c r="D110" s="6" t="s">
        <v>238</v>
      </c>
      <c r="E110" s="16" t="s">
        <v>60</v>
      </c>
      <c r="F110" s="29" t="s">
        <v>65</v>
      </c>
      <c r="G110" s="19">
        <v>14</v>
      </c>
      <c r="H110" s="11" t="s">
        <v>210</v>
      </c>
      <c r="I110" s="6"/>
      <c r="J110" s="23" t="e">
        <f t="shared" si="4"/>
        <v>#N/A</v>
      </c>
      <c r="L110" t="s">
        <v>210</v>
      </c>
      <c r="M110" t="s">
        <v>218</v>
      </c>
    </row>
    <row r="111" spans="2:13" ht="30" customHeight="1">
      <c r="B111" s="5">
        <v>45975</v>
      </c>
      <c r="C111" s="6" t="s">
        <v>254</v>
      </c>
      <c r="D111" s="6" t="s">
        <v>235</v>
      </c>
      <c r="E111" s="16" t="s">
        <v>60</v>
      </c>
      <c r="F111" s="29" t="s">
        <v>65</v>
      </c>
      <c r="G111" s="20">
        <v>96</v>
      </c>
      <c r="H111" s="6" t="s">
        <v>81</v>
      </c>
      <c r="I111" s="6" t="s">
        <v>84</v>
      </c>
      <c r="J111" s="23" t="e">
        <f t="shared" si="4"/>
        <v>#N/A</v>
      </c>
      <c r="L111" t="s">
        <v>35</v>
      </c>
      <c r="M111" t="s">
        <v>218</v>
      </c>
    </row>
    <row r="112" spans="2:13" ht="30" customHeight="1">
      <c r="B112" s="5">
        <v>45975</v>
      </c>
      <c r="C112" s="6" t="s">
        <v>255</v>
      </c>
      <c r="D112" s="6" t="s">
        <v>234</v>
      </c>
      <c r="E112" s="16" t="s">
        <v>63</v>
      </c>
      <c r="F112" s="29" t="s">
        <v>103</v>
      </c>
      <c r="G112" s="39">
        <v>42</v>
      </c>
      <c r="H112" s="26" t="s">
        <v>260</v>
      </c>
      <c r="I112" s="6" t="s">
        <v>181</v>
      </c>
      <c r="J112" s="23" t="e">
        <f t="shared" si="4"/>
        <v>#N/A</v>
      </c>
      <c r="L112" t="s">
        <v>210</v>
      </c>
      <c r="M112" t="s">
        <v>215</v>
      </c>
    </row>
    <row r="113" spans="2:17" ht="30" customHeight="1">
      <c r="B113" s="5">
        <v>45975</v>
      </c>
      <c r="C113" s="25" t="s">
        <v>249</v>
      </c>
      <c r="D113" s="6" t="s">
        <v>87</v>
      </c>
      <c r="E113" s="16" t="s">
        <v>63</v>
      </c>
      <c r="F113" s="29" t="s">
        <v>64</v>
      </c>
      <c r="G113" s="38">
        <v>7.0000000000000007E-2</v>
      </c>
      <c r="H113" s="6" t="s">
        <v>247</v>
      </c>
      <c r="I113" s="6" t="s">
        <v>82</v>
      </c>
      <c r="J113" s="23" t="e">
        <f t="shared" si="4"/>
        <v>#N/A</v>
      </c>
      <c r="L113" t="s">
        <v>210</v>
      </c>
      <c r="M113" t="s">
        <v>218</v>
      </c>
    </row>
    <row r="114" spans="2:17" ht="30" customHeight="1">
      <c r="B114" s="5">
        <v>45975</v>
      </c>
      <c r="C114" s="6" t="s">
        <v>250</v>
      </c>
      <c r="D114" s="6" t="s">
        <v>87</v>
      </c>
      <c r="E114" s="16" t="s">
        <v>60</v>
      </c>
      <c r="F114" s="29" t="s">
        <v>105</v>
      </c>
      <c r="G114" s="37">
        <v>0.11</v>
      </c>
      <c r="H114" s="6" t="s">
        <v>181</v>
      </c>
      <c r="I114" s="6" t="s">
        <v>181</v>
      </c>
      <c r="J114" s="23" t="e">
        <f t="shared" si="4"/>
        <v>#N/A</v>
      </c>
      <c r="L114" t="s">
        <v>210</v>
      </c>
      <c r="M114" t="s">
        <v>218</v>
      </c>
    </row>
    <row r="115" spans="2:17" ht="30" customHeight="1">
      <c r="B115" s="5">
        <v>45975</v>
      </c>
      <c r="C115" s="6" t="s">
        <v>181</v>
      </c>
      <c r="D115" s="6" t="s">
        <v>233</v>
      </c>
      <c r="E115" s="16" t="s">
        <v>60</v>
      </c>
      <c r="F115" s="29" t="s">
        <v>105</v>
      </c>
      <c r="G115" s="38">
        <v>0.13</v>
      </c>
      <c r="H115" s="11" t="s">
        <v>181</v>
      </c>
      <c r="I115" s="6" t="s">
        <v>181</v>
      </c>
      <c r="J115" s="23" t="e">
        <f t="shared" si="4"/>
        <v>#N/A</v>
      </c>
      <c r="L115" t="s">
        <v>210</v>
      </c>
      <c r="M115" t="s">
        <v>218</v>
      </c>
    </row>
    <row r="116" spans="2:17" ht="30" customHeight="1" thickBot="1">
      <c r="B116" s="5">
        <v>45986</v>
      </c>
      <c r="C116" s="6" t="s">
        <v>271</v>
      </c>
      <c r="D116" s="6" t="s">
        <v>273</v>
      </c>
      <c r="E116" s="16" t="s">
        <v>60</v>
      </c>
      <c r="F116" s="29" t="s">
        <v>65</v>
      </c>
      <c r="G116" s="38">
        <v>43</v>
      </c>
      <c r="H116" s="11" t="s">
        <v>55</v>
      </c>
      <c r="I116" s="6" t="s">
        <v>84</v>
      </c>
      <c r="J116" s="23" t="e">
        <f>IF(OR(E116="",D116="",G116=""), "", (G116/1000)*VLOOKUP(E116,$A$27:$B$30,2,FALSE) + IF(ISNUMBER(FIND("h",D116)), VALUE(LEFT(D116,FIND("h",D116)-1)) + VALUE(MID(D116,FIND("h",D116)+2,FIND("m",D116)-FIND("h",D116)-3))/60, VALUE(TRIM(LEFT(D116,FIND("m",D116)-1)))/60)*15)</f>
        <v>#N/A</v>
      </c>
      <c r="L116" t="s">
        <v>35</v>
      </c>
      <c r="M116" t="s">
        <v>215</v>
      </c>
    </row>
    <row r="117" spans="2:17" ht="33">
      <c r="B117" s="47" t="s">
        <v>272</v>
      </c>
      <c r="C117" s="4" t="s">
        <v>301</v>
      </c>
      <c r="D117" s="13" t="s">
        <v>238</v>
      </c>
      <c r="E117" s="15" t="s">
        <v>60</v>
      </c>
      <c r="F117" s="14" t="s">
        <v>65</v>
      </c>
      <c r="G117" s="19">
        <v>97</v>
      </c>
      <c r="H117" s="4" t="s">
        <v>300</v>
      </c>
      <c r="I117" s="4" t="s">
        <v>82</v>
      </c>
      <c r="J117" s="23" t="e">
        <f>IF(OR(E117="",D117="",G117=""), "", (G117/1000)*VLOOKUP(E117,$A$27:$B$30,2,FALSE) + IF(ISNUMBER(FIND("h",D117)), VALUE(LEFT(D117,FIND("h",D117)-1)) + VALUE(MID(D117,FIND("h",D117)+2,FIND("m",D117)-FIND("h",D117)-3))/60, VALUE(TRIM(LEFT(D117,FIND("m",D117)-1)))/60)*15)</f>
        <v>#N/A</v>
      </c>
      <c r="L117" t="s">
        <v>210</v>
      </c>
      <c r="M117" t="s">
        <v>215</v>
      </c>
    </row>
    <row r="118" spans="2:17">
      <c r="B118" s="5">
        <v>45993</v>
      </c>
      <c r="C118" s="6" t="s">
        <v>323</v>
      </c>
      <c r="D118" s="6" t="s">
        <v>274</v>
      </c>
      <c r="E118" s="16" t="s">
        <v>86</v>
      </c>
      <c r="F118" s="29"/>
      <c r="G118" s="20">
        <v>36</v>
      </c>
      <c r="H118" s="6" t="s">
        <v>55</v>
      </c>
      <c r="I118" s="6" t="s">
        <v>84</v>
      </c>
      <c r="J118" s="23" t="e">
        <f t="shared" ref="J118:J139" si="5">IF(OR(E118="",D118="",G118=""), "", (G118/1000)*VLOOKUP(E118,$A$27:$B$30,2,FALSE) + IF(ISNUMBER(FIND("h",D118)), VALUE(LEFT(D118,FIND("h",D118)-1)) + VALUE(MID(D118,FIND("h",D118)+2,FIND("m",D118)-FIND("h",D118)-3))/60, VALUE(TRIM(LEFT(D118,FIND("m",D118)-1)))/60)*15)</f>
        <v>#N/A</v>
      </c>
      <c r="L118" t="s">
        <v>35</v>
      </c>
      <c r="M118" t="s">
        <v>215</v>
      </c>
    </row>
    <row r="119" spans="2:17">
      <c r="B119" s="5">
        <v>45996</v>
      </c>
      <c r="C119" s="25" t="s">
        <v>324</v>
      </c>
      <c r="D119" s="6" t="s">
        <v>275</v>
      </c>
      <c r="E119" s="16" t="s">
        <v>63</v>
      </c>
      <c r="F119" s="29" t="s">
        <v>64</v>
      </c>
      <c r="G119" s="19">
        <v>1</v>
      </c>
      <c r="H119" s="46" t="s">
        <v>210</v>
      </c>
      <c r="I119" s="6" t="s">
        <v>84</v>
      </c>
      <c r="J119" s="23" t="e">
        <f t="shared" si="5"/>
        <v>#N/A</v>
      </c>
      <c r="L119" t="s">
        <v>210</v>
      </c>
      <c r="M119" t="s">
        <v>218</v>
      </c>
    </row>
    <row r="120" spans="2:17" ht="37.5">
      <c r="B120" s="5">
        <v>45996</v>
      </c>
      <c r="C120" s="25" t="s">
        <v>325</v>
      </c>
      <c r="D120" s="6" t="s">
        <v>276</v>
      </c>
      <c r="E120" s="16" t="s">
        <v>60</v>
      </c>
      <c r="F120" s="29" t="s">
        <v>62</v>
      </c>
      <c r="G120" s="20">
        <v>1</v>
      </c>
      <c r="H120" s="46" t="s">
        <v>181</v>
      </c>
      <c r="I120" s="6" t="s">
        <v>82</v>
      </c>
      <c r="J120" s="23" t="e">
        <f t="shared" si="5"/>
        <v>#N/A</v>
      </c>
      <c r="L120" t="s">
        <v>210</v>
      </c>
      <c r="M120" t="s">
        <v>218</v>
      </c>
    </row>
    <row r="121" spans="2:17" ht="49.5">
      <c r="B121" s="5">
        <v>45996</v>
      </c>
      <c r="C121" s="11" t="s">
        <v>326</v>
      </c>
      <c r="D121" s="6" t="s">
        <v>277</v>
      </c>
      <c r="E121" s="16" t="s">
        <v>60</v>
      </c>
      <c r="F121" s="29" t="s">
        <v>62</v>
      </c>
      <c r="G121" s="20">
        <v>14</v>
      </c>
      <c r="H121" s="46" t="s">
        <v>181</v>
      </c>
      <c r="I121" s="6" t="s">
        <v>82</v>
      </c>
      <c r="J121" s="23" t="e">
        <f t="shared" si="5"/>
        <v>#N/A</v>
      </c>
      <c r="L121" t="s">
        <v>210</v>
      </c>
      <c r="M121" t="s">
        <v>218</v>
      </c>
      <c r="N121" t="s">
        <v>35</v>
      </c>
      <c r="O121">
        <f>COUNTIF(L2:L104,"試作")</f>
        <v>24</v>
      </c>
      <c r="P121" t="s">
        <v>216</v>
      </c>
      <c r="Q121">
        <f>COUNTIF(M2:M104,"技術")</f>
        <v>59</v>
      </c>
    </row>
    <row r="122" spans="2:17">
      <c r="B122" s="5">
        <v>45996</v>
      </c>
      <c r="C122" s="6" t="s">
        <v>327</v>
      </c>
      <c r="D122" s="6" t="s">
        <v>278</v>
      </c>
      <c r="E122" s="16" t="s">
        <v>60</v>
      </c>
      <c r="F122" s="29" t="s">
        <v>62</v>
      </c>
      <c r="G122" s="41">
        <v>1.4</v>
      </c>
      <c r="H122" s="46" t="s">
        <v>181</v>
      </c>
      <c r="I122" s="46" t="s">
        <v>181</v>
      </c>
      <c r="J122" s="23" t="e">
        <f t="shared" si="5"/>
        <v>#N/A</v>
      </c>
      <c r="L122" t="s">
        <v>210</v>
      </c>
      <c r="M122" t="s">
        <v>218</v>
      </c>
      <c r="N122" t="s">
        <v>210</v>
      </c>
      <c r="O122">
        <f>COUNTIF(L2:L104,"改善")</f>
        <v>16</v>
      </c>
      <c r="P122" t="s">
        <v>215</v>
      </c>
      <c r="Q122">
        <f>COUNTIF(M2:M104,"冷鍛")</f>
        <v>28</v>
      </c>
    </row>
    <row r="123" spans="2:17">
      <c r="B123" s="5">
        <v>46364</v>
      </c>
      <c r="C123" s="46" t="s">
        <v>181</v>
      </c>
      <c r="D123" s="6" t="s">
        <v>275</v>
      </c>
      <c r="E123" s="16" t="s">
        <v>60</v>
      </c>
      <c r="F123" s="29" t="s">
        <v>62</v>
      </c>
      <c r="G123" s="20">
        <v>4</v>
      </c>
      <c r="H123" s="46" t="s">
        <v>181</v>
      </c>
      <c r="I123" s="46" t="s">
        <v>181</v>
      </c>
      <c r="J123" s="23" t="e">
        <f t="shared" si="5"/>
        <v>#N/A</v>
      </c>
      <c r="L123" t="s">
        <v>210</v>
      </c>
      <c r="M123" t="s">
        <v>218</v>
      </c>
      <c r="N123" t="s">
        <v>211</v>
      </c>
      <c r="O123">
        <f>COUNTIF(L2:L104,"品質")</f>
        <v>13</v>
      </c>
      <c r="P123" t="s">
        <v>218</v>
      </c>
      <c r="Q123">
        <f>COUNTIF(M2:M104,"プレス")</f>
        <v>8</v>
      </c>
    </row>
    <row r="124" spans="2:17">
      <c r="B124" s="5">
        <v>45999</v>
      </c>
      <c r="C124" s="46" t="s">
        <v>181</v>
      </c>
      <c r="D124" s="6" t="s">
        <v>87</v>
      </c>
      <c r="E124" s="16" t="s">
        <v>60</v>
      </c>
      <c r="F124" s="29" t="s">
        <v>62</v>
      </c>
      <c r="G124" s="19">
        <v>4</v>
      </c>
      <c r="H124" s="46" t="s">
        <v>181</v>
      </c>
      <c r="I124" s="46" t="s">
        <v>181</v>
      </c>
      <c r="J124" s="23" t="e">
        <f t="shared" si="5"/>
        <v>#N/A</v>
      </c>
      <c r="L124" t="s">
        <v>210</v>
      </c>
      <c r="M124" t="s">
        <v>218</v>
      </c>
      <c r="N124" t="s">
        <v>213</v>
      </c>
      <c r="O124">
        <f>COUNTIF(L2:L104,"検討品")</f>
        <v>21</v>
      </c>
      <c r="P124" t="s">
        <v>217</v>
      </c>
      <c r="Q124">
        <f>COUNTIF(M2:M104,"生管")</f>
        <v>4</v>
      </c>
    </row>
    <row r="125" spans="2:17">
      <c r="B125" s="5">
        <v>45999</v>
      </c>
      <c r="C125" s="6" t="s">
        <v>328</v>
      </c>
      <c r="D125" s="6" t="s">
        <v>279</v>
      </c>
      <c r="E125" s="16" t="s">
        <v>60</v>
      </c>
      <c r="F125" s="29" t="s">
        <v>62</v>
      </c>
      <c r="G125" s="20">
        <v>3</v>
      </c>
      <c r="H125" s="46" t="s">
        <v>181</v>
      </c>
      <c r="I125" s="46" t="s">
        <v>181</v>
      </c>
      <c r="J125" s="23" t="e">
        <f t="shared" si="5"/>
        <v>#N/A</v>
      </c>
      <c r="L125" t="s">
        <v>210</v>
      </c>
      <c r="M125" t="s">
        <v>218</v>
      </c>
      <c r="N125" t="s">
        <v>214</v>
      </c>
      <c r="O125">
        <f>COUNTIF(L2:L104,"内製化")</f>
        <v>29</v>
      </c>
      <c r="P125" t="s">
        <v>219</v>
      </c>
      <c r="Q125">
        <f>COUNTIF(M2:M104,"工機")</f>
        <v>4</v>
      </c>
    </row>
    <row r="126" spans="2:17">
      <c r="B126" s="5">
        <v>46000</v>
      </c>
      <c r="C126" s="6" t="s">
        <v>248</v>
      </c>
      <c r="D126" s="6" t="s">
        <v>280</v>
      </c>
      <c r="E126" s="16" t="s">
        <v>60</v>
      </c>
      <c r="F126" s="29" t="s">
        <v>62</v>
      </c>
      <c r="G126" s="19">
        <v>1</v>
      </c>
      <c r="H126" s="46" t="s">
        <v>181</v>
      </c>
      <c r="I126" s="46" t="s">
        <v>181</v>
      </c>
      <c r="J126" s="23" t="e">
        <f t="shared" si="5"/>
        <v>#N/A</v>
      </c>
      <c r="L126" t="s">
        <v>210</v>
      </c>
      <c r="M126" t="s">
        <v>218</v>
      </c>
      <c r="N126" t="s">
        <v>220</v>
      </c>
      <c r="O126">
        <f>SUM(O121:O125)</f>
        <v>103</v>
      </c>
      <c r="Q126">
        <f>SUM(Q121:Q125)</f>
        <v>103</v>
      </c>
    </row>
    <row r="127" spans="2:17">
      <c r="B127" s="5">
        <v>46000</v>
      </c>
      <c r="C127" s="46" t="s">
        <v>181</v>
      </c>
      <c r="D127" s="10" t="s">
        <v>281</v>
      </c>
      <c r="E127" s="16" t="s">
        <v>60</v>
      </c>
      <c r="F127" s="29" t="s">
        <v>62</v>
      </c>
      <c r="G127" s="20">
        <v>1</v>
      </c>
      <c r="H127" s="46" t="s">
        <v>181</v>
      </c>
      <c r="I127" s="46" t="s">
        <v>181</v>
      </c>
      <c r="J127" s="23" t="e">
        <f t="shared" si="5"/>
        <v>#N/A</v>
      </c>
      <c r="L127" t="s">
        <v>210</v>
      </c>
      <c r="M127" t="s">
        <v>218</v>
      </c>
    </row>
    <row r="128" spans="2:17">
      <c r="B128" s="5">
        <v>46003</v>
      </c>
      <c r="C128" s="46" t="s">
        <v>181</v>
      </c>
      <c r="D128" s="6" t="s">
        <v>275</v>
      </c>
      <c r="E128" s="16" t="s">
        <v>63</v>
      </c>
      <c r="F128" s="29" t="s">
        <v>62</v>
      </c>
      <c r="G128" s="21">
        <v>1</v>
      </c>
      <c r="H128" s="46" t="s">
        <v>181</v>
      </c>
      <c r="I128" s="46" t="s">
        <v>181</v>
      </c>
      <c r="J128" s="23" t="e">
        <f t="shared" si="5"/>
        <v>#N/A</v>
      </c>
      <c r="L128" t="s">
        <v>210</v>
      </c>
      <c r="M128" t="s">
        <v>218</v>
      </c>
    </row>
    <row r="129" spans="2:13">
      <c r="B129" s="5">
        <v>46006</v>
      </c>
      <c r="C129" s="6" t="s">
        <v>319</v>
      </c>
      <c r="D129" s="6" t="s">
        <v>29</v>
      </c>
      <c r="E129" s="16" t="s">
        <v>63</v>
      </c>
      <c r="F129" s="29" t="s">
        <v>61</v>
      </c>
      <c r="G129" s="19">
        <v>1</v>
      </c>
      <c r="H129" s="46" t="s">
        <v>210</v>
      </c>
      <c r="I129" s="6" t="s">
        <v>84</v>
      </c>
      <c r="J129" s="23" t="e">
        <f t="shared" si="5"/>
        <v>#N/A</v>
      </c>
      <c r="L129" t="s">
        <v>210</v>
      </c>
      <c r="M129" t="s">
        <v>218</v>
      </c>
    </row>
    <row r="130" spans="2:13">
      <c r="B130" s="5">
        <v>46006</v>
      </c>
      <c r="C130" s="6" t="s">
        <v>317</v>
      </c>
      <c r="D130" s="6" t="s">
        <v>274</v>
      </c>
      <c r="E130" s="16" t="s">
        <v>60</v>
      </c>
      <c r="F130" s="29" t="s">
        <v>65</v>
      </c>
      <c r="G130" s="20">
        <v>40</v>
      </c>
      <c r="H130" s="46" t="s">
        <v>181</v>
      </c>
      <c r="I130" s="46" t="s">
        <v>181</v>
      </c>
      <c r="J130" s="23" t="e">
        <f t="shared" si="5"/>
        <v>#N/A</v>
      </c>
      <c r="L130" t="s">
        <v>210</v>
      </c>
      <c r="M130" t="s">
        <v>218</v>
      </c>
    </row>
    <row r="131" spans="2:13">
      <c r="B131" s="5">
        <v>46007</v>
      </c>
      <c r="C131" s="6" t="s">
        <v>320</v>
      </c>
      <c r="D131" s="6" t="s">
        <v>282</v>
      </c>
      <c r="E131" s="16" t="s">
        <v>60</v>
      </c>
      <c r="F131" s="29" t="s">
        <v>65</v>
      </c>
      <c r="G131" s="19">
        <v>56</v>
      </c>
      <c r="H131" s="46" t="s">
        <v>181</v>
      </c>
      <c r="I131" s="46" t="s">
        <v>181</v>
      </c>
      <c r="J131" s="23" t="e">
        <f t="shared" si="5"/>
        <v>#N/A</v>
      </c>
      <c r="L131" t="s">
        <v>210</v>
      </c>
      <c r="M131" t="s">
        <v>218</v>
      </c>
    </row>
    <row r="132" spans="2:13">
      <c r="B132" s="5">
        <v>46007</v>
      </c>
      <c r="C132" s="26" t="s">
        <v>318</v>
      </c>
      <c r="D132" s="6" t="s">
        <v>97</v>
      </c>
      <c r="E132" s="16" t="s">
        <v>63</v>
      </c>
      <c r="F132" s="29" t="s">
        <v>61</v>
      </c>
      <c r="G132" s="20">
        <v>1</v>
      </c>
      <c r="H132" s="46" t="s">
        <v>297</v>
      </c>
      <c r="I132" s="46" t="s">
        <v>82</v>
      </c>
      <c r="J132" s="23" t="e">
        <f t="shared" si="5"/>
        <v>#N/A</v>
      </c>
      <c r="L132" t="s">
        <v>210</v>
      </c>
      <c r="M132" t="s">
        <v>218</v>
      </c>
    </row>
    <row r="133" spans="2:13">
      <c r="B133" s="5">
        <v>46007</v>
      </c>
      <c r="C133" s="40"/>
      <c r="D133" s="6" t="s">
        <v>283</v>
      </c>
      <c r="E133" s="16" t="s">
        <v>63</v>
      </c>
      <c r="F133" s="29" t="s">
        <v>65</v>
      </c>
      <c r="G133" s="19">
        <v>11</v>
      </c>
      <c r="H133" s="46" t="s">
        <v>210</v>
      </c>
      <c r="I133" s="46" t="s">
        <v>181</v>
      </c>
      <c r="J133" s="23" t="e">
        <f t="shared" si="5"/>
        <v>#N/A</v>
      </c>
      <c r="L133" t="s">
        <v>210</v>
      </c>
      <c r="M133" t="s">
        <v>218</v>
      </c>
    </row>
    <row r="134" spans="2:13">
      <c r="B134" s="5">
        <v>46008</v>
      </c>
      <c r="C134" s="6" t="s">
        <v>317</v>
      </c>
      <c r="D134" s="6" t="s">
        <v>284</v>
      </c>
      <c r="E134" s="16" t="s">
        <v>60</v>
      </c>
      <c r="F134" s="29" t="s">
        <v>65</v>
      </c>
      <c r="G134" s="20">
        <v>42</v>
      </c>
      <c r="H134" s="6" t="s">
        <v>210</v>
      </c>
      <c r="I134" s="6" t="s">
        <v>84</v>
      </c>
      <c r="J134" s="23" t="e">
        <f t="shared" si="5"/>
        <v>#N/A</v>
      </c>
      <c r="L134" t="s">
        <v>210</v>
      </c>
      <c r="M134" t="s">
        <v>218</v>
      </c>
    </row>
    <row r="135" spans="2:13">
      <c r="B135" s="5">
        <v>46009</v>
      </c>
      <c r="C135" s="6" t="s">
        <v>316</v>
      </c>
      <c r="D135" s="6" t="s">
        <v>285</v>
      </c>
      <c r="E135" s="16" t="s">
        <v>63</v>
      </c>
      <c r="F135" s="29" t="s">
        <v>65</v>
      </c>
      <c r="G135" s="39">
        <v>13</v>
      </c>
      <c r="H135" s="45" t="s">
        <v>299</v>
      </c>
      <c r="I135" s="6" t="s">
        <v>84</v>
      </c>
      <c r="J135" s="23" t="e">
        <f t="shared" si="5"/>
        <v>#N/A</v>
      </c>
      <c r="L135" t="s">
        <v>210</v>
      </c>
      <c r="M135" t="s">
        <v>215</v>
      </c>
    </row>
    <row r="136" spans="2:13">
      <c r="B136" s="5">
        <v>46010</v>
      </c>
      <c r="C136" s="25" t="s">
        <v>315</v>
      </c>
      <c r="D136" s="6" t="s">
        <v>286</v>
      </c>
      <c r="E136" s="16" t="s">
        <v>60</v>
      </c>
      <c r="F136" s="29" t="s">
        <v>65</v>
      </c>
      <c r="G136" s="43">
        <v>11</v>
      </c>
      <c r="H136" s="6" t="s">
        <v>210</v>
      </c>
      <c r="I136" s="46" t="s">
        <v>181</v>
      </c>
      <c r="J136" s="23" t="e">
        <f t="shared" si="5"/>
        <v>#N/A</v>
      </c>
      <c r="L136" t="s">
        <v>35</v>
      </c>
      <c r="M136" t="s">
        <v>215</v>
      </c>
    </row>
    <row r="137" spans="2:13" ht="49.5">
      <c r="B137" s="5">
        <v>46013</v>
      </c>
      <c r="C137" s="11" t="s">
        <v>313</v>
      </c>
      <c r="D137" s="6" t="s">
        <v>93</v>
      </c>
      <c r="E137" s="16" t="s">
        <v>63</v>
      </c>
      <c r="F137" s="29" t="s">
        <v>65</v>
      </c>
      <c r="G137" s="44">
        <v>3</v>
      </c>
      <c r="H137" s="6" t="s">
        <v>297</v>
      </c>
      <c r="I137" s="6" t="s">
        <v>82</v>
      </c>
      <c r="J137" s="23" t="e">
        <f t="shared" si="5"/>
        <v>#N/A</v>
      </c>
      <c r="L137" t="s">
        <v>35</v>
      </c>
      <c r="M137" t="s">
        <v>218</v>
      </c>
    </row>
    <row r="138" spans="2:13">
      <c r="B138" s="5">
        <v>46014</v>
      </c>
      <c r="C138" s="6"/>
      <c r="D138" s="6" t="s">
        <v>287</v>
      </c>
      <c r="E138" s="16" t="s">
        <v>60</v>
      </c>
      <c r="F138" s="29" t="s">
        <v>65</v>
      </c>
      <c r="G138" s="43">
        <v>168</v>
      </c>
      <c r="H138" s="46" t="s">
        <v>210</v>
      </c>
      <c r="I138" s="6" t="s">
        <v>84</v>
      </c>
      <c r="J138" s="23" t="e">
        <f t="shared" si="5"/>
        <v>#N/A</v>
      </c>
      <c r="L138" t="s">
        <v>210</v>
      </c>
      <c r="M138" t="s">
        <v>215</v>
      </c>
    </row>
    <row r="139" spans="2:13" ht="19.5" thickBot="1">
      <c r="B139" s="5">
        <v>46015</v>
      </c>
      <c r="C139" s="6" t="s">
        <v>314</v>
      </c>
      <c r="D139" s="6" t="s">
        <v>288</v>
      </c>
      <c r="E139" s="16" t="s">
        <v>63</v>
      </c>
      <c r="F139" s="29" t="s">
        <v>65</v>
      </c>
      <c r="G139" s="43">
        <v>5</v>
      </c>
      <c r="H139" s="46" t="s">
        <v>210</v>
      </c>
      <c r="I139" s="6" t="s">
        <v>84</v>
      </c>
      <c r="J139" s="23" t="e">
        <f t="shared" si="5"/>
        <v>#N/A</v>
      </c>
      <c r="L139" t="s">
        <v>35</v>
      </c>
      <c r="M139" t="s">
        <v>215</v>
      </c>
    </row>
    <row r="140" spans="2:13">
      <c r="B140" s="42">
        <v>46015</v>
      </c>
      <c r="C140" s="4" t="s">
        <v>312</v>
      </c>
      <c r="D140" s="13" t="s">
        <v>289</v>
      </c>
      <c r="E140" s="15" t="s">
        <v>63</v>
      </c>
      <c r="F140" s="14" t="s">
        <v>62</v>
      </c>
      <c r="G140" s="19">
        <v>3</v>
      </c>
      <c r="H140" s="4" t="s">
        <v>297</v>
      </c>
      <c r="I140" s="4" t="s">
        <v>82</v>
      </c>
      <c r="J140" s="23" t="e">
        <f>IF(OR(E140="",D140="",G140=""), "", (G140/1000)*VLOOKUP(E140,$A$27:$B$30,2,FALSE) + IF(ISNUMBER(FIND("h",D140)), VALUE(LEFT(D140,FIND("h",D140)-1)) + VALUE(MID(D140,FIND("h",D140)+2,FIND("m",D140)-FIND("h",D140)-3))/60, VALUE(TRIM(LEFT(D140,FIND("m",D140)-1)))/60)*15)</f>
        <v>#N/A</v>
      </c>
      <c r="L140" t="s">
        <v>210</v>
      </c>
      <c r="M140" t="s">
        <v>218</v>
      </c>
    </row>
    <row r="141" spans="2:13" ht="33">
      <c r="B141" s="5">
        <v>46015</v>
      </c>
      <c r="C141" s="11" t="s">
        <v>304</v>
      </c>
      <c r="D141" s="6" t="s">
        <v>93</v>
      </c>
      <c r="E141" s="16" t="s">
        <v>63</v>
      </c>
      <c r="F141" s="29" t="s">
        <v>62</v>
      </c>
      <c r="G141" s="20">
        <v>1</v>
      </c>
      <c r="H141" s="45" t="s">
        <v>181</v>
      </c>
      <c r="I141" s="6" t="s">
        <v>181</v>
      </c>
      <c r="J141" s="23" t="e">
        <f t="shared" ref="J141:J153" si="6">IF(OR(E141="",D141="",G141=""), "", (G141/1000)*VLOOKUP(E141,$A$27:$B$30,2,FALSE) + IF(ISNUMBER(FIND("h",D141)), VALUE(LEFT(D141,FIND("h",D141)-1)) + VALUE(MID(D141,FIND("h",D141)+2,FIND("m",D141)-FIND("h",D141)-3))/60, VALUE(TRIM(LEFT(D141,FIND("m",D141)-1)))/60)*15)</f>
        <v>#N/A</v>
      </c>
      <c r="L141" t="s">
        <v>210</v>
      </c>
      <c r="M141" t="s">
        <v>218</v>
      </c>
    </row>
    <row r="142" spans="2:13" ht="33">
      <c r="B142" s="5">
        <v>46015</v>
      </c>
      <c r="C142" s="11" t="s">
        <v>304</v>
      </c>
      <c r="D142" s="6" t="s">
        <v>93</v>
      </c>
      <c r="E142" s="16" t="s">
        <v>63</v>
      </c>
      <c r="F142" s="29" t="s">
        <v>62</v>
      </c>
      <c r="G142" s="19">
        <v>1</v>
      </c>
      <c r="H142" s="45" t="s">
        <v>181</v>
      </c>
      <c r="I142" s="6" t="s">
        <v>181</v>
      </c>
      <c r="J142" s="23" t="e">
        <f t="shared" si="6"/>
        <v>#N/A</v>
      </c>
      <c r="L142" t="s">
        <v>210</v>
      </c>
      <c r="M142" t="s">
        <v>218</v>
      </c>
    </row>
    <row r="143" spans="2:13" ht="33">
      <c r="B143" s="5">
        <v>46015</v>
      </c>
      <c r="C143" s="11" t="s">
        <v>305</v>
      </c>
      <c r="D143" s="6" t="s">
        <v>290</v>
      </c>
      <c r="E143" s="16" t="s">
        <v>63</v>
      </c>
      <c r="F143" s="29" t="s">
        <v>62</v>
      </c>
      <c r="G143" s="20">
        <v>3</v>
      </c>
      <c r="H143" s="45" t="s">
        <v>181</v>
      </c>
      <c r="I143" s="6" t="s">
        <v>181</v>
      </c>
      <c r="J143" s="23" t="e">
        <f t="shared" si="6"/>
        <v>#N/A</v>
      </c>
      <c r="L143" t="s">
        <v>210</v>
      </c>
      <c r="M143" t="s">
        <v>218</v>
      </c>
    </row>
    <row r="144" spans="2:13">
      <c r="B144" s="5">
        <v>46016</v>
      </c>
      <c r="C144" s="6" t="s">
        <v>306</v>
      </c>
      <c r="D144" s="6" t="s">
        <v>291</v>
      </c>
      <c r="E144" s="16" t="s">
        <v>60</v>
      </c>
      <c r="F144" s="29" t="s">
        <v>65</v>
      </c>
      <c r="G144" s="20">
        <v>3</v>
      </c>
      <c r="H144" s="46" t="s">
        <v>210</v>
      </c>
      <c r="I144" s="6" t="s">
        <v>181</v>
      </c>
      <c r="J144" s="23" t="e">
        <f t="shared" si="6"/>
        <v>#N/A</v>
      </c>
      <c r="L144" t="s">
        <v>210</v>
      </c>
      <c r="M144" t="s">
        <v>218</v>
      </c>
    </row>
    <row r="145" spans="2:13">
      <c r="B145" s="5">
        <v>46016</v>
      </c>
      <c r="C145" s="6" t="s">
        <v>307</v>
      </c>
      <c r="D145" s="6" t="s">
        <v>237</v>
      </c>
      <c r="E145" s="16" t="s">
        <v>63</v>
      </c>
      <c r="F145" s="29" t="s">
        <v>64</v>
      </c>
      <c r="G145" s="19">
        <v>13</v>
      </c>
      <c r="H145" s="46" t="s">
        <v>211</v>
      </c>
      <c r="I145" s="6" t="s">
        <v>84</v>
      </c>
      <c r="J145" s="23" t="e">
        <f t="shared" si="6"/>
        <v>#N/A</v>
      </c>
      <c r="L145" t="s">
        <v>211</v>
      </c>
      <c r="M145" t="s">
        <v>215</v>
      </c>
    </row>
    <row r="146" spans="2:13" ht="49.5">
      <c r="B146" s="5">
        <v>46029</v>
      </c>
      <c r="C146" s="11" t="s">
        <v>308</v>
      </c>
      <c r="D146" s="6" t="s">
        <v>137</v>
      </c>
      <c r="E146" s="16" t="s">
        <v>63</v>
      </c>
      <c r="F146" s="29" t="s">
        <v>65</v>
      </c>
      <c r="G146" s="20">
        <v>7</v>
      </c>
      <c r="H146" s="46" t="s">
        <v>297</v>
      </c>
      <c r="I146" s="6" t="s">
        <v>298</v>
      </c>
      <c r="J146" s="23" t="e">
        <f t="shared" si="6"/>
        <v>#N/A</v>
      </c>
      <c r="L146" t="s">
        <v>35</v>
      </c>
      <c r="M146" t="s">
        <v>218</v>
      </c>
    </row>
    <row r="147" spans="2:13">
      <c r="B147" s="5">
        <v>46034</v>
      </c>
      <c r="C147" s="6" t="s">
        <v>255</v>
      </c>
      <c r="D147" s="6" t="s">
        <v>89</v>
      </c>
      <c r="E147" s="16" t="s">
        <v>63</v>
      </c>
      <c r="F147" s="29" t="s">
        <v>65</v>
      </c>
      <c r="G147" s="19">
        <v>6</v>
      </c>
      <c r="H147" s="46" t="s">
        <v>210</v>
      </c>
      <c r="I147" s="6" t="s">
        <v>84</v>
      </c>
      <c r="J147" s="23" t="e">
        <f t="shared" si="6"/>
        <v>#N/A</v>
      </c>
      <c r="L147" t="s">
        <v>210</v>
      </c>
      <c r="M147" t="s">
        <v>215</v>
      </c>
    </row>
    <row r="148" spans="2:13" ht="33">
      <c r="B148" s="5">
        <v>46034</v>
      </c>
      <c r="C148" s="11" t="s">
        <v>309</v>
      </c>
      <c r="D148" s="6" t="s">
        <v>85</v>
      </c>
      <c r="E148" s="16" t="s">
        <v>63</v>
      </c>
      <c r="F148" s="29" t="s">
        <v>62</v>
      </c>
      <c r="G148" s="20">
        <v>3</v>
      </c>
      <c r="H148" s="46" t="s">
        <v>297</v>
      </c>
      <c r="I148" s="6" t="s">
        <v>82</v>
      </c>
      <c r="J148" s="23" t="e">
        <f t="shared" si="6"/>
        <v>#N/A</v>
      </c>
      <c r="L148" t="s">
        <v>210</v>
      </c>
      <c r="M148" t="s">
        <v>218</v>
      </c>
    </row>
    <row r="149" spans="2:13" ht="33">
      <c r="B149" s="5">
        <v>46034</v>
      </c>
      <c r="C149" s="11" t="s">
        <v>310</v>
      </c>
      <c r="D149" s="6" t="s">
        <v>292</v>
      </c>
      <c r="E149" s="16" t="s">
        <v>63</v>
      </c>
      <c r="F149" s="29" t="s">
        <v>62</v>
      </c>
      <c r="G149" s="19">
        <v>2</v>
      </c>
      <c r="H149" s="46" t="s">
        <v>297</v>
      </c>
      <c r="I149" s="6" t="s">
        <v>82</v>
      </c>
      <c r="J149" s="23" t="e">
        <f t="shared" si="6"/>
        <v>#N/A</v>
      </c>
      <c r="L149" t="s">
        <v>210</v>
      </c>
      <c r="M149" t="s">
        <v>218</v>
      </c>
    </row>
    <row r="150" spans="2:13">
      <c r="B150" s="5">
        <v>46035</v>
      </c>
      <c r="C150" s="6" t="s">
        <v>302</v>
      </c>
      <c r="D150" s="10" t="s">
        <v>293</v>
      </c>
      <c r="E150" s="16" t="s">
        <v>60</v>
      </c>
      <c r="F150" s="29" t="s">
        <v>105</v>
      </c>
      <c r="G150" s="20">
        <v>6</v>
      </c>
      <c r="H150" s="46"/>
      <c r="I150" s="6" t="s">
        <v>84</v>
      </c>
      <c r="J150" s="23" t="e">
        <f t="shared" si="6"/>
        <v>#N/A</v>
      </c>
      <c r="L150" t="s">
        <v>213</v>
      </c>
      <c r="M150" t="s">
        <v>215</v>
      </c>
    </row>
    <row r="151" spans="2:13">
      <c r="B151" s="5">
        <v>46036</v>
      </c>
      <c r="C151" s="6" t="s">
        <v>311</v>
      </c>
      <c r="D151" s="6" t="s">
        <v>294</v>
      </c>
      <c r="E151" s="16" t="s">
        <v>60</v>
      </c>
      <c r="F151" s="29" t="s">
        <v>65</v>
      </c>
      <c r="G151" s="21">
        <v>22</v>
      </c>
      <c r="H151" s="46" t="s">
        <v>210</v>
      </c>
      <c r="I151" s="6" t="s">
        <v>84</v>
      </c>
      <c r="J151" s="23" t="e">
        <f t="shared" si="6"/>
        <v>#N/A</v>
      </c>
      <c r="L151" t="s">
        <v>210</v>
      </c>
      <c r="M151" t="s">
        <v>218</v>
      </c>
    </row>
    <row r="152" spans="2:13" ht="33">
      <c r="B152" s="5">
        <v>46035</v>
      </c>
      <c r="C152" s="11" t="s">
        <v>303</v>
      </c>
      <c r="D152" s="6" t="s">
        <v>295</v>
      </c>
      <c r="E152" s="16" t="s">
        <v>63</v>
      </c>
      <c r="F152" s="29" t="s">
        <v>296</v>
      </c>
      <c r="G152" s="19">
        <v>3</v>
      </c>
      <c r="H152" s="46" t="s">
        <v>297</v>
      </c>
      <c r="I152" s="6" t="s">
        <v>82</v>
      </c>
      <c r="J152" s="23" t="e">
        <f t="shared" si="6"/>
        <v>#N/A</v>
      </c>
      <c r="L152" t="s">
        <v>210</v>
      </c>
      <c r="M152" t="s">
        <v>218</v>
      </c>
    </row>
    <row r="153" spans="2:13">
      <c r="B153" s="5">
        <v>46044</v>
      </c>
      <c r="C153" s="6" t="s">
        <v>321</v>
      </c>
      <c r="D153" s="6" t="s">
        <v>322</v>
      </c>
      <c r="E153" s="16" t="s">
        <v>63</v>
      </c>
      <c r="F153" s="29" t="s">
        <v>64</v>
      </c>
      <c r="G153" s="20">
        <v>24</v>
      </c>
      <c r="H153" s="25" t="s">
        <v>211</v>
      </c>
      <c r="I153" s="6" t="s">
        <v>84</v>
      </c>
      <c r="J153" s="23" t="e">
        <f t="shared" si="6"/>
        <v>#N/A</v>
      </c>
      <c r="L153" t="s">
        <v>211</v>
      </c>
      <c r="M153" t="s">
        <v>215</v>
      </c>
    </row>
  </sheetData>
  <phoneticPr fontId="1"/>
  <dataValidations count="8">
    <dataValidation type="list" allowBlank="1" showInputMessage="1" showErrorMessage="1" sqref="F2:F38" xr:uid="{F86B5748-BD76-479D-B473-727A66FA2F94}">
      <formula1>"[白], [黒], [赤], [白・黒]"</formula1>
    </dataValidation>
    <dataValidation type="list" allowBlank="1" showInputMessage="1" showErrorMessage="1" sqref="E2:E103 E105:E126 E128:E149 E151:E153" xr:uid="{CB7D33C1-C889-49D0-A440-19230EEF8F04}">
      <formula1>"PLA, ABS, PC, PET-CF"</formula1>
    </dataValidation>
    <dataValidation type="list" allowBlank="1" showInputMessage="1" showErrorMessage="1" sqref="F39:F42 F54:F70" xr:uid="{50FD928B-1BD8-4078-88CD-EF5BE6C930A5}">
      <formula1>"[白], [黒], [赤], [白・黒],[オレンジ],[青],[青・黒]"</formula1>
    </dataValidation>
    <dataValidation type="list" allowBlank="1" showInputMessage="1" showErrorMessage="1" sqref="F43:F47" xr:uid="{4A250227-9F6E-4545-BD09-6D0246974DB2}">
      <formula1>"[白], [黒], [赤], [白・黒],[オレンジ],[青],[青・黒],[青・白]"</formula1>
    </dataValidation>
    <dataValidation type="list" allowBlank="1" showInputMessage="1" showErrorMessage="1" sqref="F48:F53 F71:F86 F88:F93 F95:F116" xr:uid="{3D01A066-30F4-499A-8127-9AF5E8160694}">
      <formula1>"[白], [黒], [赤],[青],[オレンジ],[白・黒],[青・黒],[青・白]"</formula1>
    </dataValidation>
    <dataValidation type="list" allowBlank="1" showInputMessage="1" showErrorMessage="1" sqref="F87" xr:uid="{EF9A7761-EFE8-4608-B334-EC9DC2BB4403}">
      <formula1>"[白], [黒], [赤],[青],[オレンジ],[白・黒],[青・黒],[青・白],[白・黒・青]"</formula1>
    </dataValidation>
    <dataValidation type="list" allowBlank="1" showInputMessage="1" sqref="E104 E127 E150" xr:uid="{1F469B86-3C55-44CC-A38B-D090CBC74640}">
      <formula1>"PLA, ABS, PC, PET-CF"</formula1>
    </dataValidation>
    <dataValidation type="list" allowBlank="1" showInputMessage="1" sqref="F94 F117:F153" xr:uid="{DC12B293-CF4A-4241-B942-5583E78F7447}">
      <formula1>"[白], [黒], [赤],[青],[オレンジ],[白・黒],[青・黒],[青・白]"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1D95A-E156-494A-B05F-C64A4A4D9918}">
  <dimension ref="A1:I35"/>
  <sheetViews>
    <sheetView view="pageBreakPreview" zoomScaleNormal="100" zoomScaleSheetLayoutView="100" workbookViewId="0">
      <selection activeCell="C4" sqref="C4"/>
    </sheetView>
  </sheetViews>
  <sheetFormatPr defaultRowHeight="18.75"/>
  <cols>
    <col min="1" max="1" width="11.375" customWidth="1"/>
    <col min="2" max="2" width="27.375" customWidth="1"/>
    <col min="3" max="3" width="10.625" customWidth="1"/>
    <col min="4" max="4" width="9.5" customWidth="1"/>
    <col min="5" max="5" width="9.25" customWidth="1"/>
    <col min="6" max="6" width="8" customWidth="1"/>
    <col min="7" max="7" width="16.25" bestFit="1" customWidth="1"/>
    <col min="8" max="9" width="12.125" customWidth="1"/>
  </cols>
  <sheetData>
    <row r="1" spans="1:9" ht="30">
      <c r="A1" s="1" t="s">
        <v>0</v>
      </c>
    </row>
    <row r="3" spans="1:9" ht="19.5" thickBot="1">
      <c r="A3" s="2" t="s">
        <v>1</v>
      </c>
      <c r="B3" s="2" t="s">
        <v>2</v>
      </c>
      <c r="C3" s="2" t="s">
        <v>3</v>
      </c>
      <c r="D3" s="48" t="s">
        <v>4</v>
      </c>
      <c r="E3" s="49"/>
      <c r="F3" s="2" t="s">
        <v>5</v>
      </c>
      <c r="G3" s="2" t="s">
        <v>6</v>
      </c>
      <c r="H3" s="2" t="s">
        <v>19</v>
      </c>
      <c r="I3" s="2" t="s">
        <v>20</v>
      </c>
    </row>
    <row r="4" spans="1:9" ht="30" customHeight="1">
      <c r="A4" s="3"/>
      <c r="B4" s="4"/>
      <c r="C4" s="13"/>
      <c r="D4" s="15"/>
      <c r="E4" s="14"/>
      <c r="F4" s="19"/>
      <c r="G4" s="4"/>
      <c r="H4" s="4"/>
      <c r="I4" s="23" t="str">
        <f>IF(OR(D4="",C4="",F4=""), "", (F4/1000)*VLOOKUP(D4,$A$27:$B$30,2,FALSE) + IF(ISNUMBER(FIND("h",C4)), VALUE(LEFT(C4,FIND("h",C4)-1)) + VALUE(MID(C4,FIND("h",C4)+2,FIND("m",C4)-FIND("h",C4)-3))/60, VALUE(TRIM(LEFT(C4,FIND("m",C4)-1)))/60)*15)</f>
        <v/>
      </c>
    </row>
    <row r="5" spans="1:9" ht="30" customHeight="1">
      <c r="A5" s="5"/>
      <c r="B5" s="6"/>
      <c r="C5" s="6"/>
      <c r="D5" s="16"/>
      <c r="E5" s="29"/>
      <c r="F5" s="20"/>
      <c r="G5" s="6"/>
      <c r="H5" s="6"/>
      <c r="I5" s="23" t="str">
        <f t="shared" ref="I5:I26" si="0">IF(OR(D5="",C5="",F5=""), "", (F5/1000)*VLOOKUP(D5,$A$27:$B$30,2,FALSE) + IF(ISNUMBER(FIND("h",C5)), VALUE(LEFT(C5,FIND("h",C5)-1)) + VALUE(MID(C5,FIND("h",C5)+2,FIND("m",C5)-FIND("h",C5)-3))/60, VALUE(TRIM(LEFT(C5,FIND("m",C5)-1)))/60)*15)</f>
        <v/>
      </c>
    </row>
    <row r="6" spans="1:9" ht="30" customHeight="1">
      <c r="A6" s="5"/>
      <c r="B6" s="6"/>
      <c r="C6" s="6"/>
      <c r="D6" s="16"/>
      <c r="E6" s="29"/>
      <c r="F6" s="19"/>
      <c r="G6" s="11"/>
      <c r="H6" s="6"/>
      <c r="I6" s="23" t="str">
        <f t="shared" si="0"/>
        <v/>
      </c>
    </row>
    <row r="7" spans="1:9" ht="30" customHeight="1">
      <c r="A7" s="5"/>
      <c r="B7" s="6"/>
      <c r="C7" s="6"/>
      <c r="D7" s="16"/>
      <c r="E7" s="29"/>
      <c r="F7" s="20"/>
      <c r="G7" s="11"/>
      <c r="H7" s="6"/>
      <c r="I7" s="23" t="str">
        <f t="shared" si="0"/>
        <v/>
      </c>
    </row>
    <row r="8" spans="1:9" ht="30" customHeight="1">
      <c r="A8" s="5"/>
      <c r="B8" s="6"/>
      <c r="C8" s="6"/>
      <c r="D8" s="16"/>
      <c r="E8" s="29"/>
      <c r="F8" s="20"/>
      <c r="G8" s="25"/>
      <c r="H8" s="6"/>
      <c r="I8" s="23" t="str">
        <f t="shared" si="0"/>
        <v/>
      </c>
    </row>
    <row r="9" spans="1:9" ht="30" customHeight="1">
      <c r="A9" s="5"/>
      <c r="B9" s="6"/>
      <c r="C9" s="6"/>
      <c r="D9" s="16"/>
      <c r="E9" s="29"/>
      <c r="F9" s="19"/>
      <c r="G9" s="25"/>
      <c r="H9" s="6"/>
      <c r="I9" s="23" t="str">
        <f t="shared" si="0"/>
        <v/>
      </c>
    </row>
    <row r="10" spans="1:9" ht="30" customHeight="1">
      <c r="A10" s="5"/>
      <c r="B10" s="6"/>
      <c r="C10" s="6"/>
      <c r="D10" s="16"/>
      <c r="E10" s="29"/>
      <c r="F10" s="20"/>
      <c r="G10" s="25"/>
      <c r="H10" s="6"/>
      <c r="I10" s="23" t="str">
        <f t="shared" si="0"/>
        <v/>
      </c>
    </row>
    <row r="11" spans="1:9" ht="30" customHeight="1">
      <c r="A11" s="5"/>
      <c r="B11" s="6"/>
      <c r="C11" s="6"/>
      <c r="D11" s="16"/>
      <c r="E11" s="29"/>
      <c r="F11" s="19"/>
      <c r="G11" s="11"/>
      <c r="H11" s="6"/>
      <c r="I11" s="23" t="str">
        <f t="shared" si="0"/>
        <v/>
      </c>
    </row>
    <row r="12" spans="1:9" ht="30" customHeight="1">
      <c r="A12" s="5"/>
      <c r="B12" s="6"/>
      <c r="C12" s="6"/>
      <c r="D12" s="16"/>
      <c r="E12" s="29"/>
      <c r="F12" s="20"/>
      <c r="G12" s="11"/>
      <c r="H12" s="6"/>
      <c r="I12" s="23" t="str">
        <f t="shared" si="0"/>
        <v/>
      </c>
    </row>
    <row r="13" spans="1:9" ht="30" customHeight="1">
      <c r="A13" s="5"/>
      <c r="B13" s="6"/>
      <c r="C13" s="6"/>
      <c r="D13" s="16"/>
      <c r="E13" s="29"/>
      <c r="F13" s="19"/>
      <c r="G13" s="11"/>
      <c r="H13" s="6"/>
      <c r="I13" s="23" t="str">
        <f t="shared" si="0"/>
        <v/>
      </c>
    </row>
    <row r="14" spans="1:9" ht="30" customHeight="1">
      <c r="A14" s="5"/>
      <c r="B14" s="6"/>
      <c r="C14" s="10"/>
      <c r="D14" s="16"/>
      <c r="E14" s="29"/>
      <c r="F14" s="20"/>
      <c r="G14" s="11"/>
      <c r="H14" s="6"/>
      <c r="I14" s="23" t="str">
        <f t="shared" si="0"/>
        <v/>
      </c>
    </row>
    <row r="15" spans="1:9" ht="30" customHeight="1">
      <c r="A15" s="5"/>
      <c r="B15" s="6"/>
      <c r="C15" s="6"/>
      <c r="D15" s="16"/>
      <c r="E15" s="29"/>
      <c r="F15" s="21"/>
      <c r="G15" s="11"/>
      <c r="H15" s="6"/>
      <c r="I15" s="23" t="str">
        <f t="shared" si="0"/>
        <v/>
      </c>
    </row>
    <row r="16" spans="1:9" ht="30" customHeight="1">
      <c r="A16" s="5"/>
      <c r="B16" s="6"/>
      <c r="C16" s="6"/>
      <c r="D16" s="16"/>
      <c r="E16" s="29"/>
      <c r="F16" s="19"/>
      <c r="G16" s="11"/>
      <c r="H16" s="6"/>
      <c r="I16" s="23" t="str">
        <f t="shared" si="0"/>
        <v/>
      </c>
    </row>
    <row r="17" spans="1:9" ht="30" customHeight="1">
      <c r="A17" s="5"/>
      <c r="B17" s="6"/>
      <c r="C17" s="6"/>
      <c r="D17" s="16"/>
      <c r="E17" s="29"/>
      <c r="F17" s="20"/>
      <c r="G17" s="11"/>
      <c r="H17" s="6"/>
      <c r="I17" s="23" t="str">
        <f t="shared" si="0"/>
        <v/>
      </c>
    </row>
    <row r="18" spans="1:9" ht="30" customHeight="1">
      <c r="A18" s="5"/>
      <c r="B18" s="6"/>
      <c r="C18" s="6"/>
      <c r="D18" s="16"/>
      <c r="E18" s="29"/>
      <c r="F18" s="19"/>
      <c r="G18" s="11"/>
      <c r="H18" s="6"/>
      <c r="I18" s="23" t="str">
        <f t="shared" si="0"/>
        <v/>
      </c>
    </row>
    <row r="19" spans="1:9" ht="30" customHeight="1">
      <c r="A19" s="5"/>
      <c r="B19" s="6"/>
      <c r="C19" s="6"/>
      <c r="D19" s="16"/>
      <c r="E19" s="29"/>
      <c r="F19" s="20"/>
      <c r="G19" s="11"/>
      <c r="H19" s="6"/>
      <c r="I19" s="23" t="str">
        <f t="shared" si="0"/>
        <v/>
      </c>
    </row>
    <row r="20" spans="1:9" ht="30" customHeight="1">
      <c r="A20" s="5"/>
      <c r="B20" s="6"/>
      <c r="C20" s="6"/>
      <c r="D20" s="16"/>
      <c r="E20" s="29"/>
      <c r="F20" s="19"/>
      <c r="G20" s="11"/>
      <c r="H20" s="6"/>
      <c r="I20" s="23" t="str">
        <f t="shared" si="0"/>
        <v/>
      </c>
    </row>
    <row r="21" spans="1:9" ht="30" customHeight="1">
      <c r="A21" s="5"/>
      <c r="B21" s="6"/>
      <c r="C21" s="6"/>
      <c r="D21" s="16"/>
      <c r="E21" s="29"/>
      <c r="F21" s="20"/>
      <c r="G21" s="6"/>
      <c r="H21" s="6"/>
      <c r="I21" s="23" t="str">
        <f t="shared" si="0"/>
        <v/>
      </c>
    </row>
    <row r="22" spans="1:9" ht="30" customHeight="1">
      <c r="A22" s="5"/>
      <c r="B22" s="6"/>
      <c r="C22" s="6"/>
      <c r="D22" s="16"/>
      <c r="E22" s="29"/>
      <c r="F22" s="19"/>
      <c r="G22" s="26"/>
      <c r="H22" s="6"/>
      <c r="I22" s="23" t="str">
        <f t="shared" si="0"/>
        <v/>
      </c>
    </row>
    <row r="23" spans="1:9" ht="30" customHeight="1">
      <c r="A23" s="5"/>
      <c r="B23" s="6"/>
      <c r="C23" s="6"/>
      <c r="D23" s="16"/>
      <c r="E23" s="29"/>
      <c r="F23" s="8"/>
      <c r="G23" s="6"/>
      <c r="H23" s="6"/>
      <c r="I23" s="23" t="str">
        <f t="shared" si="0"/>
        <v/>
      </c>
    </row>
    <row r="24" spans="1:9" ht="30" customHeight="1">
      <c r="A24" s="5"/>
      <c r="B24" s="6"/>
      <c r="C24" s="6"/>
      <c r="D24" s="16"/>
      <c r="E24" s="29"/>
      <c r="F24" s="19"/>
      <c r="G24" s="6"/>
      <c r="H24" s="6"/>
      <c r="I24" s="23" t="str">
        <f t="shared" si="0"/>
        <v/>
      </c>
    </row>
    <row r="25" spans="1:9" ht="30" customHeight="1">
      <c r="A25" s="5"/>
      <c r="B25" s="6"/>
      <c r="C25" s="6"/>
      <c r="D25" s="16"/>
      <c r="E25" s="29"/>
      <c r="F25" s="8"/>
      <c r="G25" s="11"/>
      <c r="H25" s="6"/>
      <c r="I25" s="23" t="str">
        <f t="shared" si="0"/>
        <v/>
      </c>
    </row>
    <row r="26" spans="1:9" ht="30" customHeight="1">
      <c r="A26" s="5"/>
      <c r="B26" s="6"/>
      <c r="C26" s="6"/>
      <c r="D26" s="16"/>
      <c r="E26" s="29"/>
      <c r="F26" s="8"/>
      <c r="G26" s="11"/>
      <c r="H26" s="6"/>
      <c r="I26" s="23" t="str">
        <f t="shared" si="0"/>
        <v/>
      </c>
    </row>
    <row r="27" spans="1:9" ht="30" customHeight="1">
      <c r="A27" s="18" t="s">
        <v>67</v>
      </c>
      <c r="B27" s="22">
        <v>2800</v>
      </c>
      <c r="C27" s="31" t="s">
        <v>21</v>
      </c>
      <c r="D27" s="31"/>
      <c r="E27" s="31"/>
      <c r="F27" s="31"/>
      <c r="G27" s="31"/>
      <c r="H27" s="31" t="s">
        <v>163</v>
      </c>
      <c r="I27" s="32">
        <f>SUM(I4:I26)</f>
        <v>0</v>
      </c>
    </row>
    <row r="28" spans="1:9" ht="30" customHeight="1">
      <c r="A28" t="s">
        <v>68</v>
      </c>
      <c r="B28" s="22">
        <v>3400</v>
      </c>
    </row>
    <row r="29" spans="1:9" ht="30" customHeight="1">
      <c r="A29" t="s">
        <v>69</v>
      </c>
      <c r="B29" s="22">
        <v>7280</v>
      </c>
    </row>
    <row r="30" spans="1:9" ht="30" customHeight="1">
      <c r="A30" t="s">
        <v>70</v>
      </c>
      <c r="B30" s="22">
        <v>18360</v>
      </c>
    </row>
    <row r="31" spans="1:9" ht="30" customHeight="1"/>
    <row r="32" spans="1:9" ht="30" customHeight="1"/>
    <row r="33" ht="30" customHeight="1"/>
    <row r="34" ht="30" customHeight="1"/>
    <row r="35" ht="30" customHeight="1"/>
  </sheetData>
  <mergeCells count="1">
    <mergeCell ref="D3:E3"/>
  </mergeCells>
  <phoneticPr fontId="1"/>
  <dataValidations count="2">
    <dataValidation type="list" allowBlank="1" showInputMessage="1" showErrorMessage="1" sqref="D4:D26" xr:uid="{CD293F69-7D70-4655-BBD6-11567FA95556}">
      <formula1>"PLA, ABS, PC, PET-CF"</formula1>
    </dataValidation>
    <dataValidation type="list" allowBlank="1" showInputMessage="1" showErrorMessage="1" sqref="E4:E26" xr:uid="{3D29782D-66FE-4C12-89A9-B451B19A3F0A}">
      <formula1>"[白], [黒], [赤],[青],[オレンジ],[白・黒],[青・黒],[青・白]"</formula1>
    </dataValidation>
  </dataValidations>
  <pageMargins left="0.7" right="0.7" top="0.75" bottom="0.75" header="0.3" footer="0.3"/>
  <pageSetup paperSize="9" scale="6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A7A2D-FAD6-40AB-846F-7708DB209C38}">
  <dimension ref="A1:M35"/>
  <sheetViews>
    <sheetView view="pageBreakPreview" zoomScaleNormal="100" zoomScaleSheetLayoutView="100" workbookViewId="0">
      <selection activeCell="G23" sqref="G23"/>
    </sheetView>
  </sheetViews>
  <sheetFormatPr defaultRowHeight="18.75"/>
  <cols>
    <col min="1" max="1" width="11.375" customWidth="1"/>
    <col min="2" max="2" width="27.375" customWidth="1"/>
    <col min="3" max="3" width="10.625" customWidth="1"/>
    <col min="4" max="4" width="9.5" customWidth="1"/>
    <col min="5" max="5" width="9.25" customWidth="1"/>
    <col min="6" max="6" width="8" customWidth="1"/>
    <col min="7" max="7" width="16.25" bestFit="1" customWidth="1"/>
    <col min="8" max="9" width="12.125" customWidth="1"/>
  </cols>
  <sheetData>
    <row r="1" spans="1:13" ht="30">
      <c r="A1" s="1" t="s">
        <v>0</v>
      </c>
    </row>
    <row r="3" spans="1:13" ht="19.5" thickBot="1">
      <c r="A3" s="2" t="s">
        <v>1</v>
      </c>
      <c r="B3" s="2" t="s">
        <v>2</v>
      </c>
      <c r="C3" s="2" t="s">
        <v>3</v>
      </c>
      <c r="D3" s="48" t="s">
        <v>4</v>
      </c>
      <c r="E3" s="49"/>
      <c r="F3" s="2" t="s">
        <v>5</v>
      </c>
      <c r="G3" s="2" t="s">
        <v>6</v>
      </c>
      <c r="H3" s="2" t="s">
        <v>19</v>
      </c>
      <c r="I3" s="2" t="s">
        <v>20</v>
      </c>
      <c r="J3" s="4" t="s">
        <v>209</v>
      </c>
    </row>
    <row r="4" spans="1:13" ht="30" customHeight="1">
      <c r="A4" s="3">
        <v>45789</v>
      </c>
      <c r="B4" s="4" t="s">
        <v>7</v>
      </c>
      <c r="C4" s="13" t="s">
        <v>59</v>
      </c>
      <c r="D4" s="15" t="s">
        <v>60</v>
      </c>
      <c r="E4" s="14" t="s">
        <v>62</v>
      </c>
      <c r="F4" s="19">
        <v>22</v>
      </c>
      <c r="G4" s="4" t="s">
        <v>8</v>
      </c>
      <c r="H4" s="4"/>
      <c r="I4" s="23">
        <f>(F4/1000)*VLOOKUP(D4,$A$27:$B$30,2,FALSE) + IF(ISNUMBER(FIND("h",C4)), VALUE(LEFT(C4,FIND("h",C4)-1)) + VALUE(MID(C4,FIND("h",C4)+2,FIND("m",C4)-FIND("h",C4)-3))/60, VALUE(TRIM(LEFT(C4,FIND("m",C4)-1)))/60)*15</f>
        <v>80.849999999999994</v>
      </c>
      <c r="K4" t="s">
        <v>35</v>
      </c>
      <c r="L4" t="s">
        <v>216</v>
      </c>
      <c r="M4">
        <v>1</v>
      </c>
    </row>
    <row r="5" spans="1:13" ht="30" customHeight="1">
      <c r="A5" s="5">
        <v>45790</v>
      </c>
      <c r="B5" s="6" t="s">
        <v>9</v>
      </c>
      <c r="C5" s="6" t="s">
        <v>71</v>
      </c>
      <c r="D5" s="16" t="s">
        <v>63</v>
      </c>
      <c r="E5" s="17" t="s">
        <v>64</v>
      </c>
      <c r="F5" s="20">
        <v>10</v>
      </c>
      <c r="G5" s="6" t="s">
        <v>8</v>
      </c>
      <c r="H5" s="6"/>
      <c r="I5" s="23">
        <f>(F5/1000)*VLOOKUP(D5,$A$27:$B$30,2,FALSE) + IF(ISNUMBER(FIND("h",C5)), VALUE(LEFT(C5,FIND("h",C5)-1)) + VALUE(MID(C5,FIND("h",C5)+2,FIND("m",C5)-FIND("h",C5)-3))/60, VALUE(TRIM(LEFT(C5,FIND("m",C5)-1)))/60)*15</f>
        <v>46</v>
      </c>
      <c r="K5" t="s">
        <v>35</v>
      </c>
      <c r="L5" t="s">
        <v>216</v>
      </c>
      <c r="M5">
        <v>2</v>
      </c>
    </row>
    <row r="6" spans="1:13" ht="30" customHeight="1">
      <c r="A6" s="5">
        <v>45792</v>
      </c>
      <c r="B6" s="6" t="s">
        <v>9</v>
      </c>
      <c r="C6" s="6" t="s">
        <v>72</v>
      </c>
      <c r="D6" s="16" t="s">
        <v>60</v>
      </c>
      <c r="E6" s="17" t="s">
        <v>62</v>
      </c>
      <c r="F6" s="19">
        <v>15</v>
      </c>
      <c r="G6" s="6" t="s">
        <v>8</v>
      </c>
      <c r="H6" s="6"/>
      <c r="I6" s="23">
        <f t="shared" ref="I6:I26" si="0">(F6/1000)*VLOOKUP(D6,$A$27:$B$30,2,FALSE) + IF(ISNUMBER(FIND("h",C6)), VALUE(LEFT(C6,FIND("h",C6)-1)) + VALUE(MID(C6,FIND("h",C6)+2,FIND("m",C6)-FIND("h",C6)-3))/60, VALUE(TRIM(LEFT(C6,FIND("m",C6)-1)))/60)*15</f>
        <v>60.75</v>
      </c>
      <c r="K6" t="s">
        <v>35</v>
      </c>
      <c r="L6" t="s">
        <v>216</v>
      </c>
      <c r="M6">
        <v>3</v>
      </c>
    </row>
    <row r="7" spans="1:13" ht="30" customHeight="1">
      <c r="A7" s="5">
        <v>45793</v>
      </c>
      <c r="B7" s="6" t="s">
        <v>10</v>
      </c>
      <c r="C7" s="6" t="s">
        <v>73</v>
      </c>
      <c r="D7" s="16" t="s">
        <v>60</v>
      </c>
      <c r="E7" s="17" t="s">
        <v>61</v>
      </c>
      <c r="F7" s="20">
        <v>3</v>
      </c>
      <c r="G7" s="6" t="s">
        <v>17</v>
      </c>
      <c r="H7" s="6"/>
      <c r="I7" s="23">
        <f t="shared" si="0"/>
        <v>13.4</v>
      </c>
      <c r="K7" t="s">
        <v>210</v>
      </c>
      <c r="L7" t="s">
        <v>218</v>
      </c>
      <c r="M7">
        <v>4</v>
      </c>
    </row>
    <row r="8" spans="1:13" ht="30" customHeight="1">
      <c r="A8" s="5">
        <v>45797</v>
      </c>
      <c r="B8" s="6" t="s">
        <v>11</v>
      </c>
      <c r="C8" s="6" t="s">
        <v>74</v>
      </c>
      <c r="D8" s="16" t="s">
        <v>63</v>
      </c>
      <c r="E8" s="17" t="s">
        <v>64</v>
      </c>
      <c r="F8" s="20">
        <v>2</v>
      </c>
      <c r="G8" s="12" t="s">
        <v>51</v>
      </c>
      <c r="H8" s="6"/>
      <c r="I8" s="23">
        <f t="shared" si="0"/>
        <v>21.05</v>
      </c>
      <c r="K8" t="s">
        <v>35</v>
      </c>
      <c r="L8" t="s">
        <v>216</v>
      </c>
      <c r="M8">
        <v>5</v>
      </c>
    </row>
    <row r="9" spans="1:13" ht="30" customHeight="1">
      <c r="A9" s="5">
        <v>45797</v>
      </c>
      <c r="B9" s="6" t="s">
        <v>11</v>
      </c>
      <c r="C9" s="6" t="s">
        <v>28</v>
      </c>
      <c r="D9" s="16" t="s">
        <v>60</v>
      </c>
      <c r="E9" s="17" t="s">
        <v>61</v>
      </c>
      <c r="F9" s="19">
        <v>1</v>
      </c>
      <c r="G9" s="12" t="s">
        <v>52</v>
      </c>
      <c r="H9" s="6"/>
      <c r="I9" s="23">
        <f t="shared" si="0"/>
        <v>11.55</v>
      </c>
      <c r="K9" t="s">
        <v>35</v>
      </c>
      <c r="L9" t="s">
        <v>216</v>
      </c>
      <c r="M9">
        <v>6</v>
      </c>
    </row>
    <row r="10" spans="1:13" ht="30" customHeight="1">
      <c r="A10" s="5">
        <v>45797</v>
      </c>
      <c r="B10" s="6" t="s">
        <v>12</v>
      </c>
      <c r="C10" s="6" t="s">
        <v>78</v>
      </c>
      <c r="D10" s="16" t="s">
        <v>60</v>
      </c>
      <c r="E10" s="17" t="s">
        <v>61</v>
      </c>
      <c r="F10" s="20">
        <v>42</v>
      </c>
      <c r="G10" s="6" t="s">
        <v>13</v>
      </c>
      <c r="H10" s="6"/>
      <c r="I10" s="23">
        <f t="shared" si="0"/>
        <v>160.60000000000002</v>
      </c>
      <c r="K10" t="s">
        <v>211</v>
      </c>
      <c r="L10" t="s">
        <v>215</v>
      </c>
      <c r="M10">
        <v>7</v>
      </c>
    </row>
    <row r="11" spans="1:13" ht="30" customHeight="1">
      <c r="A11" s="5">
        <v>45798</v>
      </c>
      <c r="B11" s="6" t="s">
        <v>14</v>
      </c>
      <c r="C11" s="6" t="s">
        <v>75</v>
      </c>
      <c r="D11" s="16" t="s">
        <v>60</v>
      </c>
      <c r="E11" s="17" t="s">
        <v>65</v>
      </c>
      <c r="F11" s="19">
        <v>166</v>
      </c>
      <c r="G11" s="6" t="s">
        <v>15</v>
      </c>
      <c r="H11" s="6"/>
      <c r="I11" s="23">
        <f t="shared" si="0"/>
        <v>589.30000000000007</v>
      </c>
      <c r="K11" t="s">
        <v>210</v>
      </c>
      <c r="L11" t="s">
        <v>219</v>
      </c>
      <c r="M11">
        <v>8</v>
      </c>
    </row>
    <row r="12" spans="1:13" ht="30" customHeight="1">
      <c r="A12" s="5">
        <v>45799</v>
      </c>
      <c r="B12" s="6" t="s">
        <v>16</v>
      </c>
      <c r="C12" s="6" t="s">
        <v>76</v>
      </c>
      <c r="D12" s="16" t="s">
        <v>60</v>
      </c>
      <c r="E12" s="17" t="s">
        <v>61</v>
      </c>
      <c r="F12" s="20">
        <v>131</v>
      </c>
      <c r="G12" s="6" t="s">
        <v>15</v>
      </c>
      <c r="H12" s="6"/>
      <c r="I12" s="23">
        <f t="shared" si="0"/>
        <v>477.55</v>
      </c>
      <c r="K12" t="s">
        <v>210</v>
      </c>
      <c r="L12" t="s">
        <v>219</v>
      </c>
      <c r="M12">
        <v>9</v>
      </c>
    </row>
    <row r="13" spans="1:13" ht="30" customHeight="1">
      <c r="A13" s="5">
        <v>45800</v>
      </c>
      <c r="B13" s="6" t="s">
        <v>18</v>
      </c>
      <c r="C13" s="6" t="s">
        <v>77</v>
      </c>
      <c r="D13" s="16" t="s">
        <v>60</v>
      </c>
      <c r="E13" s="17" t="s">
        <v>61</v>
      </c>
      <c r="F13" s="19">
        <v>22</v>
      </c>
      <c r="G13" s="6" t="s">
        <v>15</v>
      </c>
      <c r="H13" s="6"/>
      <c r="I13" s="23">
        <f t="shared" si="0"/>
        <v>91.85</v>
      </c>
      <c r="K13" t="s">
        <v>210</v>
      </c>
      <c r="L13" t="s">
        <v>219</v>
      </c>
      <c r="M13">
        <v>10</v>
      </c>
    </row>
    <row r="14" spans="1:13" ht="30" customHeight="1">
      <c r="A14" s="5">
        <v>45803</v>
      </c>
      <c r="B14" s="7" t="s">
        <v>38</v>
      </c>
      <c r="C14" s="10" t="s">
        <v>22</v>
      </c>
      <c r="D14" s="16" t="s">
        <v>60</v>
      </c>
      <c r="E14" s="17" t="s">
        <v>65</v>
      </c>
      <c r="F14" s="20">
        <v>4</v>
      </c>
      <c r="G14" s="9" t="s">
        <v>23</v>
      </c>
      <c r="H14" s="6"/>
      <c r="I14" s="23">
        <f t="shared" si="0"/>
        <v>16.950000000000003</v>
      </c>
      <c r="K14" t="s">
        <v>212</v>
      </c>
      <c r="L14" t="s">
        <v>216</v>
      </c>
      <c r="M14">
        <v>11</v>
      </c>
    </row>
    <row r="15" spans="1:13" ht="30" customHeight="1">
      <c r="A15" s="5">
        <v>45804</v>
      </c>
      <c r="B15" s="6" t="s">
        <v>12</v>
      </c>
      <c r="C15" s="6" t="s">
        <v>30</v>
      </c>
      <c r="D15" s="16" t="s">
        <v>60</v>
      </c>
      <c r="E15" s="17" t="s">
        <v>62</v>
      </c>
      <c r="F15" s="21">
        <v>71</v>
      </c>
      <c r="G15" s="6" t="s">
        <v>55</v>
      </c>
      <c r="H15" s="6"/>
      <c r="I15" s="23">
        <f t="shared" si="0"/>
        <v>315.29999999999995</v>
      </c>
      <c r="K15" t="s">
        <v>211</v>
      </c>
      <c r="L15" t="s">
        <v>215</v>
      </c>
      <c r="M15">
        <v>12</v>
      </c>
    </row>
    <row r="16" spans="1:13" ht="30" customHeight="1">
      <c r="A16" s="5">
        <v>45799</v>
      </c>
      <c r="B16" s="6" t="s">
        <v>34</v>
      </c>
      <c r="C16" s="6" t="s">
        <v>24</v>
      </c>
      <c r="D16" s="16" t="s">
        <v>60</v>
      </c>
      <c r="E16" s="17" t="s">
        <v>61</v>
      </c>
      <c r="F16" s="19">
        <v>1</v>
      </c>
      <c r="G16" s="6" t="s">
        <v>35</v>
      </c>
      <c r="H16" s="6"/>
      <c r="I16" s="23">
        <f t="shared" si="0"/>
        <v>10.3</v>
      </c>
      <c r="K16" t="s">
        <v>212</v>
      </c>
      <c r="L16" t="s">
        <v>216</v>
      </c>
      <c r="M16">
        <v>13</v>
      </c>
    </row>
    <row r="17" spans="1:13" ht="30" customHeight="1">
      <c r="A17" s="5">
        <v>45810</v>
      </c>
      <c r="B17" s="6" t="s">
        <v>36</v>
      </c>
      <c r="C17" s="6" t="s">
        <v>25</v>
      </c>
      <c r="D17" s="16" t="s">
        <v>60</v>
      </c>
      <c r="E17" s="17" t="s">
        <v>61</v>
      </c>
      <c r="F17" s="20">
        <v>4</v>
      </c>
      <c r="G17" s="11" t="s">
        <v>56</v>
      </c>
      <c r="H17" s="6"/>
      <c r="I17" s="23">
        <f t="shared" si="0"/>
        <v>24.200000000000003</v>
      </c>
      <c r="K17" t="s">
        <v>214</v>
      </c>
      <c r="L17" t="s">
        <v>215</v>
      </c>
      <c r="M17">
        <v>14</v>
      </c>
    </row>
    <row r="18" spans="1:13" ht="30" customHeight="1">
      <c r="A18" s="5">
        <v>45810</v>
      </c>
      <c r="B18" s="6" t="s">
        <v>36</v>
      </c>
      <c r="C18" s="6" t="s">
        <v>26</v>
      </c>
      <c r="D18" s="16" t="s">
        <v>63</v>
      </c>
      <c r="E18" s="17" t="s">
        <v>64</v>
      </c>
      <c r="F18" s="19">
        <v>3</v>
      </c>
      <c r="G18" s="11" t="s">
        <v>56</v>
      </c>
      <c r="H18" s="6"/>
      <c r="I18" s="23">
        <f t="shared" si="0"/>
        <v>25.950000000000003</v>
      </c>
      <c r="K18" t="s">
        <v>214</v>
      </c>
      <c r="L18" t="s">
        <v>215</v>
      </c>
      <c r="M18">
        <v>15</v>
      </c>
    </row>
    <row r="19" spans="1:13" ht="30" customHeight="1">
      <c r="A19" s="5">
        <v>45813</v>
      </c>
      <c r="B19" s="6" t="s">
        <v>37</v>
      </c>
      <c r="C19" s="6" t="s">
        <v>27</v>
      </c>
      <c r="D19" s="16" t="s">
        <v>60</v>
      </c>
      <c r="E19" s="17" t="s">
        <v>61</v>
      </c>
      <c r="F19" s="20">
        <v>3</v>
      </c>
      <c r="G19" s="24" t="s">
        <v>54</v>
      </c>
      <c r="H19" s="6"/>
      <c r="I19" s="23">
        <f t="shared" si="0"/>
        <v>19.649999999999999</v>
      </c>
      <c r="K19" t="s">
        <v>214</v>
      </c>
      <c r="L19" t="s">
        <v>215</v>
      </c>
      <c r="M19">
        <v>16</v>
      </c>
    </row>
    <row r="20" spans="1:13" ht="30" customHeight="1">
      <c r="A20" s="5">
        <v>45814</v>
      </c>
      <c r="B20" s="6" t="s">
        <v>39</v>
      </c>
      <c r="C20" s="6" t="s">
        <v>28</v>
      </c>
      <c r="D20" s="16" t="s">
        <v>63</v>
      </c>
      <c r="E20" s="17" t="s">
        <v>64</v>
      </c>
      <c r="F20" s="19">
        <v>2</v>
      </c>
      <c r="G20" s="6" t="s">
        <v>53</v>
      </c>
      <c r="H20" s="6"/>
      <c r="I20" s="23">
        <f>(F20/1000)*VLOOKUP(D20,$A$27:$B$30,2,FALSE) + IF(ISNUMBER(FIND("h",C20)), VALUE(LEFT(C20,FIND("h",C20)-1)) + VALUE(MID(C20,FIND("h",C20)+2,FIND("m",C20)-FIND("h",C20)-3))/60, VALUE(TRIM(LEFT(C20,FIND("m",C20)-1)))/60)*15</f>
        <v>15.55</v>
      </c>
      <c r="K20" t="s">
        <v>212</v>
      </c>
      <c r="L20" t="s">
        <v>216</v>
      </c>
      <c r="M20">
        <v>17</v>
      </c>
    </row>
    <row r="21" spans="1:13" ht="30" customHeight="1">
      <c r="A21" s="5">
        <v>45814</v>
      </c>
      <c r="B21" s="6" t="s">
        <v>40</v>
      </c>
      <c r="C21" s="6" t="s">
        <v>28</v>
      </c>
      <c r="D21" s="16" t="s">
        <v>60</v>
      </c>
      <c r="E21" s="17" t="s">
        <v>61</v>
      </c>
      <c r="F21" s="20">
        <v>1</v>
      </c>
      <c r="G21" s="6" t="s">
        <v>8</v>
      </c>
      <c r="H21" s="6"/>
      <c r="I21" s="23">
        <f t="shared" si="0"/>
        <v>11.55</v>
      </c>
      <c r="K21" t="s">
        <v>35</v>
      </c>
      <c r="L21" t="s">
        <v>216</v>
      </c>
      <c r="M21">
        <v>18</v>
      </c>
    </row>
    <row r="22" spans="1:13" ht="30" customHeight="1">
      <c r="A22" s="5">
        <v>45817</v>
      </c>
      <c r="B22" s="6"/>
      <c r="C22" s="6" t="s">
        <v>29</v>
      </c>
      <c r="D22" s="16" t="s">
        <v>66</v>
      </c>
      <c r="E22" s="17" t="s">
        <v>61</v>
      </c>
      <c r="F22" s="19">
        <v>1</v>
      </c>
      <c r="G22" s="6" t="s">
        <v>55</v>
      </c>
      <c r="H22" s="6"/>
      <c r="I22" s="23">
        <f t="shared" si="0"/>
        <v>13.280000000000001</v>
      </c>
      <c r="K22" t="s">
        <v>35</v>
      </c>
      <c r="L22" t="s">
        <v>216</v>
      </c>
      <c r="M22">
        <v>19</v>
      </c>
    </row>
    <row r="23" spans="1:13" ht="30" customHeight="1">
      <c r="A23" s="5">
        <v>45819</v>
      </c>
      <c r="B23" s="6" t="s">
        <v>41</v>
      </c>
      <c r="C23" s="6" t="s">
        <v>31</v>
      </c>
      <c r="D23" s="16" t="s">
        <v>60</v>
      </c>
      <c r="E23" s="17" t="s">
        <v>62</v>
      </c>
      <c r="F23" s="8">
        <v>32</v>
      </c>
      <c r="G23" s="6" t="s">
        <v>50</v>
      </c>
      <c r="H23" s="6"/>
      <c r="I23" s="23">
        <f t="shared" si="0"/>
        <v>136.60000000000002</v>
      </c>
      <c r="K23" t="s">
        <v>35</v>
      </c>
      <c r="L23" t="s">
        <v>216</v>
      </c>
      <c r="M23">
        <v>20</v>
      </c>
    </row>
    <row r="24" spans="1:13" ht="30" customHeight="1">
      <c r="A24" s="5">
        <v>45825</v>
      </c>
      <c r="B24" s="6" t="s">
        <v>57</v>
      </c>
      <c r="C24" s="6" t="s">
        <v>32</v>
      </c>
      <c r="D24" s="16" t="s">
        <v>60</v>
      </c>
      <c r="E24" s="17" t="s">
        <v>65</v>
      </c>
      <c r="F24" s="19">
        <v>29</v>
      </c>
      <c r="G24" s="6" t="s">
        <v>50</v>
      </c>
      <c r="H24" s="6"/>
      <c r="I24" s="23">
        <f t="shared" si="0"/>
        <v>132.44999999999999</v>
      </c>
      <c r="K24" t="s">
        <v>35</v>
      </c>
      <c r="L24" t="s">
        <v>216</v>
      </c>
      <c r="M24">
        <v>21</v>
      </c>
    </row>
    <row r="25" spans="1:13" ht="30" customHeight="1">
      <c r="A25" s="5">
        <v>45826</v>
      </c>
      <c r="B25" s="6" t="s">
        <v>42</v>
      </c>
      <c r="C25" s="6" t="s">
        <v>33</v>
      </c>
      <c r="D25" s="16" t="s">
        <v>60</v>
      </c>
      <c r="E25" s="17" t="s">
        <v>61</v>
      </c>
      <c r="F25" s="8">
        <v>12</v>
      </c>
      <c r="G25" s="6" t="s">
        <v>50</v>
      </c>
      <c r="H25" s="6"/>
      <c r="I25" s="23">
        <f t="shared" si="0"/>
        <v>62.1</v>
      </c>
      <c r="K25" t="s">
        <v>214</v>
      </c>
      <c r="L25" t="s">
        <v>215</v>
      </c>
      <c r="M25">
        <v>22</v>
      </c>
    </row>
    <row r="26" spans="1:13" ht="30" customHeight="1">
      <c r="A26" s="5">
        <v>45826</v>
      </c>
      <c r="B26" s="6" t="s">
        <v>58</v>
      </c>
      <c r="C26" s="6" t="s">
        <v>79</v>
      </c>
      <c r="D26" s="16" t="s">
        <v>60</v>
      </c>
      <c r="E26" s="17" t="s">
        <v>65</v>
      </c>
      <c r="F26" s="8">
        <v>12</v>
      </c>
      <c r="G26" s="6" t="s">
        <v>50</v>
      </c>
      <c r="H26" s="6"/>
      <c r="I26" s="23">
        <f t="shared" si="0"/>
        <v>49.85</v>
      </c>
      <c r="K26" t="s">
        <v>35</v>
      </c>
      <c r="L26" t="s">
        <v>216</v>
      </c>
      <c r="M26">
        <v>23</v>
      </c>
    </row>
    <row r="27" spans="1:13" ht="30" customHeight="1">
      <c r="A27" s="18" t="s">
        <v>67</v>
      </c>
      <c r="B27" s="22">
        <v>2800</v>
      </c>
      <c r="C27" s="31" t="s">
        <v>21</v>
      </c>
      <c r="D27" s="31"/>
      <c r="E27" s="31"/>
      <c r="F27" s="31"/>
      <c r="G27" s="31"/>
      <c r="H27" s="31" t="s">
        <v>163</v>
      </c>
      <c r="I27" s="32">
        <f>SUM(I4:I26)</f>
        <v>2386.6299999999997</v>
      </c>
    </row>
    <row r="28" spans="1:13" ht="30" customHeight="1">
      <c r="A28" t="s">
        <v>68</v>
      </c>
      <c r="B28" s="22">
        <v>3400</v>
      </c>
    </row>
    <row r="29" spans="1:13" ht="30" customHeight="1">
      <c r="A29" t="s">
        <v>69</v>
      </c>
      <c r="B29" s="22">
        <v>7280</v>
      </c>
    </row>
    <row r="30" spans="1:13" ht="30" customHeight="1">
      <c r="A30" t="s">
        <v>70</v>
      </c>
      <c r="B30" s="22">
        <v>18360</v>
      </c>
    </row>
    <row r="31" spans="1:13" ht="30" customHeight="1"/>
    <row r="32" spans="1:13" ht="30" customHeight="1"/>
    <row r="33" ht="30" customHeight="1"/>
    <row r="34" ht="30" customHeight="1"/>
    <row r="35" ht="30" customHeight="1"/>
  </sheetData>
  <mergeCells count="1">
    <mergeCell ref="D3:E3"/>
  </mergeCells>
  <phoneticPr fontId="1"/>
  <dataValidations count="2">
    <dataValidation type="list" allowBlank="1" showInputMessage="1" showErrorMessage="1" sqref="D4:D26" xr:uid="{350B9E45-AB5F-4EC4-A3E5-794992FF6039}">
      <formula1>"PLA, ABS, PC, PET-CF"</formula1>
    </dataValidation>
    <dataValidation type="list" allowBlank="1" showInputMessage="1" showErrorMessage="1" sqref="E4:E26" xr:uid="{0AFD8A71-D2D4-4B30-8F70-D7F36FB9C3B3}">
      <formula1>"[白], [黒], [赤], [白・黒]"</formula1>
    </dataValidation>
  </dataValidations>
  <pageMargins left="0.7" right="0.7" top="0.75" bottom="0.75" header="0.3" footer="0.3"/>
  <pageSetup paperSize="9" scale="6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7EED5-EBB5-4ECC-B618-F157129FE53B}">
  <dimension ref="A1:M35"/>
  <sheetViews>
    <sheetView view="pageBreakPreview" topLeftCell="A18" zoomScaleNormal="100" zoomScaleSheetLayoutView="100" workbookViewId="0">
      <selection activeCell="D12" sqref="D12"/>
    </sheetView>
  </sheetViews>
  <sheetFormatPr defaultRowHeight="18.75"/>
  <cols>
    <col min="1" max="1" width="11.375" customWidth="1"/>
    <col min="2" max="2" width="27.375" customWidth="1"/>
    <col min="3" max="3" width="10.625" customWidth="1"/>
    <col min="4" max="4" width="9.5" customWidth="1"/>
    <col min="5" max="5" width="9.25" customWidth="1"/>
    <col min="6" max="6" width="8" customWidth="1"/>
    <col min="7" max="7" width="16.25" bestFit="1" customWidth="1"/>
    <col min="8" max="9" width="12.125" customWidth="1"/>
  </cols>
  <sheetData>
    <row r="1" spans="1:13" ht="30">
      <c r="A1" s="1" t="s">
        <v>0</v>
      </c>
    </row>
    <row r="3" spans="1:13" ht="19.5" thickBot="1">
      <c r="A3" s="2" t="s">
        <v>1</v>
      </c>
      <c r="B3" s="2" t="s">
        <v>2</v>
      </c>
      <c r="C3" s="2" t="s">
        <v>3</v>
      </c>
      <c r="D3" s="48" t="s">
        <v>4</v>
      </c>
      <c r="E3" s="49"/>
      <c r="F3" s="2" t="s">
        <v>5</v>
      </c>
      <c r="G3" s="2" t="s">
        <v>6</v>
      </c>
      <c r="H3" s="2" t="s">
        <v>19</v>
      </c>
      <c r="I3" s="2" t="s">
        <v>20</v>
      </c>
      <c r="J3" s="4" t="s">
        <v>209</v>
      </c>
    </row>
    <row r="4" spans="1:13" ht="30" customHeight="1">
      <c r="A4" s="3">
        <v>45826</v>
      </c>
      <c r="B4" s="4" t="s">
        <v>43</v>
      </c>
      <c r="C4" s="13" t="s">
        <v>80</v>
      </c>
      <c r="D4" s="15" t="s">
        <v>60</v>
      </c>
      <c r="E4" s="14" t="s">
        <v>65</v>
      </c>
      <c r="F4" s="19">
        <v>4</v>
      </c>
      <c r="G4" s="4"/>
      <c r="H4" s="4"/>
      <c r="I4" s="23">
        <f>IF(OR(D4="",C4="",F4=""), "", (F4/1000)*VLOOKUP(D4,$A$27:$B$30,2,FALSE) + IF(ISNUMBER(FIND("h",C4)), VALUE(LEFT(C4,FIND("h",C4)-1)) + VALUE(MID(C4,FIND("h",C4)+2,FIND("m",C4)-FIND("h",C4)-3))/60, VALUE(TRIM(LEFT(C4,FIND("m",C4)-1)))/60)*15)</f>
        <v>21.700000000000003</v>
      </c>
      <c r="K4" t="s">
        <v>35</v>
      </c>
      <c r="L4" t="s">
        <v>216</v>
      </c>
      <c r="M4">
        <v>24</v>
      </c>
    </row>
    <row r="5" spans="1:13" ht="30" customHeight="1">
      <c r="A5" s="5">
        <v>45826</v>
      </c>
      <c r="B5" s="6" t="s">
        <v>44</v>
      </c>
      <c r="C5" s="6" t="s">
        <v>47</v>
      </c>
      <c r="D5" s="16" t="s">
        <v>60</v>
      </c>
      <c r="E5" s="17" t="s">
        <v>65</v>
      </c>
      <c r="F5" s="20">
        <v>96</v>
      </c>
      <c r="G5" s="6" t="s">
        <v>81</v>
      </c>
      <c r="H5" s="6" t="s">
        <v>82</v>
      </c>
      <c r="I5" s="23">
        <f t="shared" ref="I5:I26" si="0">IF(OR(D5="",C5="",F5=""), "", (F5/1000)*VLOOKUP(D5,$A$27:$B$30,2,FALSE) + IF(ISNUMBER(FIND("h",C5)), VALUE(LEFT(C5,FIND("h",C5)-1)) + VALUE(MID(C5,FIND("h",C5)+2,FIND("m",C5)-FIND("h",C5)-3))/60, VALUE(TRIM(LEFT(C5,FIND("m",C5)-1)))/60)*15)</f>
        <v>306.3</v>
      </c>
      <c r="K5" t="s">
        <v>214</v>
      </c>
      <c r="L5" t="s">
        <v>216</v>
      </c>
      <c r="M5">
        <v>25</v>
      </c>
    </row>
    <row r="6" spans="1:13" ht="30" customHeight="1">
      <c r="A6" s="5">
        <v>45827</v>
      </c>
      <c r="B6" s="6" t="s">
        <v>45</v>
      </c>
      <c r="C6" s="6" t="s">
        <v>48</v>
      </c>
      <c r="D6" s="16" t="s">
        <v>60</v>
      </c>
      <c r="E6" s="17" t="s">
        <v>62</v>
      </c>
      <c r="F6" s="19">
        <v>49</v>
      </c>
      <c r="G6" s="11" t="s">
        <v>83</v>
      </c>
      <c r="H6" s="6" t="s">
        <v>84</v>
      </c>
      <c r="I6" s="23">
        <f t="shared" si="0"/>
        <v>215.70000000000002</v>
      </c>
      <c r="K6" t="s">
        <v>35</v>
      </c>
      <c r="L6" t="s">
        <v>215</v>
      </c>
      <c r="M6">
        <v>26</v>
      </c>
    </row>
    <row r="7" spans="1:13" ht="30" customHeight="1">
      <c r="A7" s="5">
        <v>45828</v>
      </c>
      <c r="B7" s="6" t="s">
        <v>46</v>
      </c>
      <c r="C7" s="6" t="s">
        <v>49</v>
      </c>
      <c r="D7" s="16" t="s">
        <v>60</v>
      </c>
      <c r="E7" s="17" t="s">
        <v>65</v>
      </c>
      <c r="F7" s="20">
        <v>10</v>
      </c>
      <c r="G7" s="11" t="s">
        <v>83</v>
      </c>
      <c r="H7" s="6" t="s">
        <v>84</v>
      </c>
      <c r="I7" s="23">
        <f t="shared" si="0"/>
        <v>46.5</v>
      </c>
      <c r="K7" t="s">
        <v>214</v>
      </c>
      <c r="L7" t="s">
        <v>215</v>
      </c>
      <c r="M7">
        <v>27</v>
      </c>
    </row>
    <row r="8" spans="1:13" ht="30" customHeight="1">
      <c r="A8" s="5">
        <v>45832</v>
      </c>
      <c r="B8" s="6" t="s">
        <v>107</v>
      </c>
      <c r="C8" s="6" t="s">
        <v>85</v>
      </c>
      <c r="D8" s="16" t="s">
        <v>60</v>
      </c>
      <c r="E8" s="17" t="s">
        <v>62</v>
      </c>
      <c r="F8" s="20">
        <v>4</v>
      </c>
      <c r="G8" s="25" t="s">
        <v>35</v>
      </c>
      <c r="H8" s="6" t="s">
        <v>128</v>
      </c>
      <c r="I8" s="23">
        <f t="shared" si="0"/>
        <v>19.700000000000003</v>
      </c>
      <c r="K8" t="s">
        <v>213</v>
      </c>
      <c r="L8" t="s">
        <v>216</v>
      </c>
      <c r="M8">
        <v>28</v>
      </c>
    </row>
    <row r="9" spans="1:13" ht="30" customHeight="1">
      <c r="A9" s="5">
        <v>45832</v>
      </c>
      <c r="B9" s="6" t="s">
        <v>108</v>
      </c>
      <c r="C9" s="6" t="s">
        <v>87</v>
      </c>
      <c r="D9" s="16" t="s">
        <v>60</v>
      </c>
      <c r="E9" s="17" t="s">
        <v>61</v>
      </c>
      <c r="F9" s="19">
        <v>1</v>
      </c>
      <c r="G9" s="25" t="s">
        <v>35</v>
      </c>
      <c r="H9" s="6" t="s">
        <v>128</v>
      </c>
      <c r="I9" s="23">
        <f t="shared" si="0"/>
        <v>7.3000000000000007</v>
      </c>
      <c r="K9" t="s">
        <v>213</v>
      </c>
      <c r="L9" t="s">
        <v>216</v>
      </c>
      <c r="M9">
        <v>29</v>
      </c>
    </row>
    <row r="10" spans="1:13" ht="30" customHeight="1">
      <c r="A10" s="5">
        <v>45832</v>
      </c>
      <c r="B10" s="6" t="s">
        <v>109</v>
      </c>
      <c r="C10" s="6" t="s">
        <v>88</v>
      </c>
      <c r="D10" s="16" t="s">
        <v>60</v>
      </c>
      <c r="E10" s="17" t="s">
        <v>65</v>
      </c>
      <c r="F10" s="20">
        <v>1</v>
      </c>
      <c r="G10" s="25" t="s">
        <v>35</v>
      </c>
      <c r="H10" s="6" t="s">
        <v>128</v>
      </c>
      <c r="I10" s="23">
        <f t="shared" si="0"/>
        <v>6.3000000000000007</v>
      </c>
      <c r="K10" t="s">
        <v>213</v>
      </c>
      <c r="L10" t="s">
        <v>216</v>
      </c>
      <c r="M10">
        <v>30</v>
      </c>
    </row>
    <row r="11" spans="1:13" ht="30" customHeight="1">
      <c r="A11" s="5">
        <v>45833</v>
      </c>
      <c r="B11" s="6" t="s">
        <v>126</v>
      </c>
      <c r="C11" s="6" t="s">
        <v>89</v>
      </c>
      <c r="D11" s="16" t="s">
        <v>66</v>
      </c>
      <c r="E11" s="17"/>
      <c r="F11" s="19">
        <v>9</v>
      </c>
      <c r="G11" s="11" t="s">
        <v>83</v>
      </c>
      <c r="H11" s="6" t="s">
        <v>84</v>
      </c>
      <c r="I11" s="23">
        <f t="shared" si="0"/>
        <v>93.27</v>
      </c>
      <c r="K11" t="s">
        <v>214</v>
      </c>
      <c r="L11" t="s">
        <v>215</v>
      </c>
      <c r="M11">
        <v>31</v>
      </c>
    </row>
    <row r="12" spans="1:13" ht="30" customHeight="1">
      <c r="A12" s="5">
        <v>45833</v>
      </c>
      <c r="B12" s="6" t="s">
        <v>127</v>
      </c>
      <c r="C12" s="6" t="s">
        <v>90</v>
      </c>
      <c r="D12" s="16" t="s">
        <v>60</v>
      </c>
      <c r="E12" s="17" t="s">
        <v>61</v>
      </c>
      <c r="F12" s="20">
        <v>12</v>
      </c>
      <c r="G12" s="11" t="s">
        <v>83</v>
      </c>
      <c r="H12" s="6" t="s">
        <v>84</v>
      </c>
      <c r="I12" s="23">
        <f t="shared" si="0"/>
        <v>49.85</v>
      </c>
      <c r="K12" t="s">
        <v>214</v>
      </c>
      <c r="L12" t="s">
        <v>215</v>
      </c>
      <c r="M12">
        <v>32</v>
      </c>
    </row>
    <row r="13" spans="1:13" ht="30" customHeight="1">
      <c r="A13" s="5">
        <v>45838</v>
      </c>
      <c r="B13" s="6" t="s">
        <v>114</v>
      </c>
      <c r="C13" s="6" t="s">
        <v>91</v>
      </c>
      <c r="D13" s="16" t="s">
        <v>60</v>
      </c>
      <c r="E13" s="17" t="s">
        <v>61</v>
      </c>
      <c r="F13" s="19">
        <v>121</v>
      </c>
      <c r="G13" s="11" t="s">
        <v>111</v>
      </c>
      <c r="H13" s="6" t="s">
        <v>84</v>
      </c>
      <c r="I13" s="23">
        <f t="shared" si="0"/>
        <v>378.3</v>
      </c>
      <c r="K13" t="s">
        <v>35</v>
      </c>
      <c r="L13" t="s">
        <v>216</v>
      </c>
      <c r="M13">
        <v>33</v>
      </c>
    </row>
    <row r="14" spans="1:13" ht="30" customHeight="1">
      <c r="A14" s="5">
        <v>45838</v>
      </c>
      <c r="B14" s="6" t="s">
        <v>115</v>
      </c>
      <c r="C14" s="10" t="s">
        <v>91</v>
      </c>
      <c r="D14" s="16" t="s">
        <v>60</v>
      </c>
      <c r="E14" s="17" t="s">
        <v>61</v>
      </c>
      <c r="F14" s="20">
        <v>121</v>
      </c>
      <c r="G14" s="11" t="s">
        <v>111</v>
      </c>
      <c r="H14" s="6" t="s">
        <v>84</v>
      </c>
      <c r="I14" s="23">
        <f t="shared" si="0"/>
        <v>378.3</v>
      </c>
      <c r="K14" t="s">
        <v>35</v>
      </c>
      <c r="L14" t="s">
        <v>216</v>
      </c>
      <c r="M14">
        <v>34</v>
      </c>
    </row>
    <row r="15" spans="1:13" ht="30" customHeight="1">
      <c r="A15" s="5">
        <v>45839</v>
      </c>
      <c r="B15" s="6" t="s">
        <v>116</v>
      </c>
      <c r="C15" s="6" t="s">
        <v>92</v>
      </c>
      <c r="D15" s="16" t="s">
        <v>60</v>
      </c>
      <c r="E15" s="17" t="s">
        <v>64</v>
      </c>
      <c r="F15" s="21">
        <v>186</v>
      </c>
      <c r="G15" s="11" t="s">
        <v>83</v>
      </c>
      <c r="H15" s="6" t="s">
        <v>84</v>
      </c>
      <c r="I15" s="23">
        <f t="shared" si="0"/>
        <v>797.05</v>
      </c>
      <c r="K15" t="s">
        <v>211</v>
      </c>
      <c r="L15" t="s">
        <v>215</v>
      </c>
      <c r="M15">
        <v>35</v>
      </c>
    </row>
    <row r="16" spans="1:13" ht="30" customHeight="1">
      <c r="A16" s="5">
        <v>45839</v>
      </c>
      <c r="B16" s="6" t="s">
        <v>123</v>
      </c>
      <c r="C16" s="6" t="s">
        <v>93</v>
      </c>
      <c r="D16" s="16" t="s">
        <v>60</v>
      </c>
      <c r="E16" s="17" t="s">
        <v>62</v>
      </c>
      <c r="F16" s="19">
        <v>2</v>
      </c>
      <c r="G16" s="11" t="s">
        <v>83</v>
      </c>
      <c r="H16" s="6" t="s">
        <v>84</v>
      </c>
      <c r="I16" s="23">
        <f t="shared" si="0"/>
        <v>11.850000000000001</v>
      </c>
      <c r="K16" t="s">
        <v>211</v>
      </c>
      <c r="L16" t="s">
        <v>215</v>
      </c>
      <c r="M16">
        <v>36</v>
      </c>
    </row>
    <row r="17" spans="1:13" ht="30" customHeight="1">
      <c r="A17" s="5">
        <v>45840</v>
      </c>
      <c r="B17" s="6" t="s">
        <v>117</v>
      </c>
      <c r="C17" s="6" t="s">
        <v>94</v>
      </c>
      <c r="D17" s="16" t="s">
        <v>60</v>
      </c>
      <c r="E17" s="17" t="s">
        <v>65</v>
      </c>
      <c r="F17" s="20">
        <v>18</v>
      </c>
      <c r="G17" s="11" t="s">
        <v>50</v>
      </c>
      <c r="H17" s="6" t="s">
        <v>82</v>
      </c>
      <c r="I17" s="23">
        <f t="shared" si="0"/>
        <v>60.15</v>
      </c>
      <c r="K17" t="s">
        <v>35</v>
      </c>
      <c r="L17" t="s">
        <v>216</v>
      </c>
      <c r="M17">
        <v>37</v>
      </c>
    </row>
    <row r="18" spans="1:13" ht="30" customHeight="1">
      <c r="A18" s="5">
        <v>45840</v>
      </c>
      <c r="B18" s="6" t="s">
        <v>113</v>
      </c>
      <c r="C18" s="6" t="s">
        <v>91</v>
      </c>
      <c r="D18" s="16" t="s">
        <v>60</v>
      </c>
      <c r="E18" s="17" t="s">
        <v>105</v>
      </c>
      <c r="F18" s="19">
        <v>121</v>
      </c>
      <c r="G18" s="11" t="s">
        <v>111</v>
      </c>
      <c r="H18" s="6" t="s">
        <v>84</v>
      </c>
      <c r="I18" s="23">
        <f t="shared" si="0"/>
        <v>378.3</v>
      </c>
      <c r="K18" t="s">
        <v>35</v>
      </c>
      <c r="L18" t="s">
        <v>216</v>
      </c>
      <c r="M18">
        <v>38</v>
      </c>
    </row>
    <row r="19" spans="1:13" ht="30" customHeight="1">
      <c r="A19" s="5">
        <v>45841</v>
      </c>
      <c r="B19" s="6" t="s">
        <v>118</v>
      </c>
      <c r="C19" s="6" t="s">
        <v>95</v>
      </c>
      <c r="D19" s="16" t="s">
        <v>60</v>
      </c>
      <c r="E19" s="17" t="s">
        <v>104</v>
      </c>
      <c r="F19" s="20">
        <v>94</v>
      </c>
      <c r="G19" s="11" t="s">
        <v>83</v>
      </c>
      <c r="H19" s="6" t="s">
        <v>84</v>
      </c>
      <c r="I19" s="23">
        <f t="shared" si="0"/>
        <v>401.7</v>
      </c>
      <c r="K19" t="s">
        <v>211</v>
      </c>
      <c r="L19" t="s">
        <v>215</v>
      </c>
      <c r="M19">
        <v>39</v>
      </c>
    </row>
    <row r="20" spans="1:13" ht="30" customHeight="1">
      <c r="A20" s="5">
        <v>45845</v>
      </c>
      <c r="B20" s="6" t="s">
        <v>119</v>
      </c>
      <c r="C20" s="6" t="s">
        <v>96</v>
      </c>
      <c r="D20" s="16" t="s">
        <v>63</v>
      </c>
      <c r="E20" s="17" t="s">
        <v>64</v>
      </c>
      <c r="F20" s="19">
        <v>104</v>
      </c>
      <c r="G20" s="11" t="s">
        <v>83</v>
      </c>
      <c r="H20" s="6" t="s">
        <v>84</v>
      </c>
      <c r="I20" s="23">
        <f t="shared" si="0"/>
        <v>528.84999999999991</v>
      </c>
      <c r="K20" t="s">
        <v>211</v>
      </c>
      <c r="L20" t="s">
        <v>215</v>
      </c>
      <c r="M20">
        <v>40</v>
      </c>
    </row>
    <row r="21" spans="1:13" ht="30" customHeight="1">
      <c r="A21" s="5">
        <v>45846</v>
      </c>
      <c r="B21" s="6" t="s">
        <v>125</v>
      </c>
      <c r="C21" s="6" t="s">
        <v>97</v>
      </c>
      <c r="D21" s="16" t="s">
        <v>60</v>
      </c>
      <c r="E21" s="17" t="s">
        <v>61</v>
      </c>
      <c r="F21" s="20">
        <v>1</v>
      </c>
      <c r="G21" s="6" t="s">
        <v>81</v>
      </c>
      <c r="H21" s="6" t="s">
        <v>129</v>
      </c>
      <c r="I21" s="23">
        <f t="shared" si="0"/>
        <v>7.5500000000000007</v>
      </c>
      <c r="K21" t="s">
        <v>213</v>
      </c>
      <c r="L21" t="s">
        <v>216</v>
      </c>
      <c r="M21">
        <v>41</v>
      </c>
    </row>
    <row r="22" spans="1:13" ht="30" customHeight="1">
      <c r="A22" s="5">
        <v>45846</v>
      </c>
      <c r="B22" s="6" t="s">
        <v>120</v>
      </c>
      <c r="C22" s="6" t="s">
        <v>98</v>
      </c>
      <c r="D22" s="16" t="s">
        <v>60</v>
      </c>
      <c r="E22" s="17" t="s">
        <v>106</v>
      </c>
      <c r="F22" s="19">
        <v>36</v>
      </c>
      <c r="G22" s="26" t="s">
        <v>110</v>
      </c>
      <c r="H22" s="6" t="s">
        <v>84</v>
      </c>
      <c r="I22" s="23">
        <f t="shared" si="0"/>
        <v>135.80000000000001</v>
      </c>
      <c r="K22" t="s">
        <v>210</v>
      </c>
      <c r="L22" t="s">
        <v>216</v>
      </c>
      <c r="M22">
        <v>42</v>
      </c>
    </row>
    <row r="23" spans="1:13" ht="30" customHeight="1">
      <c r="A23" s="5">
        <v>45847</v>
      </c>
      <c r="B23" s="6" t="s">
        <v>121</v>
      </c>
      <c r="C23" s="6" t="s">
        <v>99</v>
      </c>
      <c r="D23" s="16" t="s">
        <v>60</v>
      </c>
      <c r="E23" s="17" t="s">
        <v>103</v>
      </c>
      <c r="F23" s="8">
        <v>68</v>
      </c>
      <c r="G23" s="6" t="s">
        <v>130</v>
      </c>
      <c r="H23" s="6" t="s">
        <v>84</v>
      </c>
      <c r="I23" s="23">
        <f t="shared" si="0"/>
        <v>245.9</v>
      </c>
      <c r="K23" t="s">
        <v>35</v>
      </c>
      <c r="L23" t="s">
        <v>216</v>
      </c>
      <c r="M23">
        <v>43</v>
      </c>
    </row>
    <row r="24" spans="1:13" ht="30" customHeight="1">
      <c r="A24" s="5">
        <v>45848</v>
      </c>
      <c r="B24" s="6" t="s">
        <v>122</v>
      </c>
      <c r="C24" s="6" t="s">
        <v>100</v>
      </c>
      <c r="D24" s="16" t="s">
        <v>60</v>
      </c>
      <c r="E24" s="17" t="s">
        <v>103</v>
      </c>
      <c r="F24" s="19">
        <v>3</v>
      </c>
      <c r="G24" s="6" t="s">
        <v>131</v>
      </c>
      <c r="H24" s="6" t="s">
        <v>84</v>
      </c>
      <c r="I24" s="23">
        <f t="shared" si="0"/>
        <v>15.65</v>
      </c>
      <c r="K24" t="s">
        <v>210</v>
      </c>
      <c r="L24" t="s">
        <v>215</v>
      </c>
      <c r="M24">
        <v>44</v>
      </c>
    </row>
    <row r="25" spans="1:13" ht="30" customHeight="1">
      <c r="A25" s="5">
        <v>45859</v>
      </c>
      <c r="B25" s="6" t="s">
        <v>112</v>
      </c>
      <c r="C25" s="6" t="s">
        <v>101</v>
      </c>
      <c r="D25" s="16" t="s">
        <v>86</v>
      </c>
      <c r="E25" s="17"/>
      <c r="F25" s="8">
        <v>14</v>
      </c>
      <c r="G25" s="11" t="s">
        <v>83</v>
      </c>
      <c r="H25" s="6" t="s">
        <v>84</v>
      </c>
      <c r="I25" s="23">
        <f t="shared" si="0"/>
        <v>289.79000000000002</v>
      </c>
      <c r="J25" s="35">
        <f>22500-289.79</f>
        <v>22210.21</v>
      </c>
      <c r="K25" s="35" t="s">
        <v>214</v>
      </c>
      <c r="L25" s="35" t="s">
        <v>215</v>
      </c>
      <c r="M25">
        <v>45</v>
      </c>
    </row>
    <row r="26" spans="1:13" ht="30" customHeight="1">
      <c r="A26" s="5">
        <v>45859</v>
      </c>
      <c r="B26" s="6" t="s">
        <v>112</v>
      </c>
      <c r="C26" s="6" t="s">
        <v>102</v>
      </c>
      <c r="D26" s="16" t="s">
        <v>66</v>
      </c>
      <c r="E26" s="17"/>
      <c r="F26" s="8">
        <v>11</v>
      </c>
      <c r="G26" s="11" t="s">
        <v>83</v>
      </c>
      <c r="H26" s="6" t="s">
        <v>84</v>
      </c>
      <c r="I26" s="23">
        <f t="shared" si="0"/>
        <v>114.58</v>
      </c>
      <c r="K26" t="s">
        <v>214</v>
      </c>
      <c r="L26" t="s">
        <v>215</v>
      </c>
      <c r="M26">
        <v>46</v>
      </c>
    </row>
    <row r="27" spans="1:13" ht="30" customHeight="1">
      <c r="A27" s="18" t="s">
        <v>67</v>
      </c>
      <c r="B27" s="22">
        <v>2800</v>
      </c>
      <c r="C27" s="31" t="s">
        <v>21</v>
      </c>
      <c r="D27" s="31"/>
      <c r="E27" s="31"/>
      <c r="F27" s="31"/>
      <c r="G27" s="31"/>
      <c r="H27" s="31" t="s">
        <v>163</v>
      </c>
      <c r="I27" s="32">
        <f>SUM(I4:I26)</f>
        <v>4510.3900000000003</v>
      </c>
    </row>
    <row r="28" spans="1:13" ht="30" customHeight="1">
      <c r="A28" t="s">
        <v>68</v>
      </c>
      <c r="B28" s="22">
        <v>3400</v>
      </c>
    </row>
    <row r="29" spans="1:13" ht="30" customHeight="1">
      <c r="A29" t="s">
        <v>69</v>
      </c>
      <c r="B29" s="22">
        <v>7280</v>
      </c>
    </row>
    <row r="30" spans="1:13" ht="30" customHeight="1">
      <c r="A30" t="s">
        <v>70</v>
      </c>
      <c r="B30" s="22">
        <v>18360</v>
      </c>
    </row>
    <row r="31" spans="1:13" ht="30" customHeight="1"/>
    <row r="32" spans="1:13" ht="30" customHeight="1"/>
    <row r="33" ht="30" customHeight="1"/>
    <row r="34" ht="30" customHeight="1"/>
    <row r="35" ht="30" customHeight="1"/>
  </sheetData>
  <mergeCells count="1">
    <mergeCell ref="D3:E3"/>
  </mergeCells>
  <phoneticPr fontId="1"/>
  <dataValidations count="4">
    <dataValidation type="list" allowBlank="1" showInputMessage="1" showErrorMessage="1" sqref="E22:E26" xr:uid="{BA8FC40F-56E3-46AE-B95B-ECA8F8FAD7D8}">
      <formula1>"[白], [黒], [赤], [白・黒],[オレンジ],[青],[青・黒],[青・白]"</formula1>
    </dataValidation>
    <dataValidation type="list" allowBlank="1" showInputMessage="1" showErrorMessage="1" sqref="E18:E21" xr:uid="{284AD11A-3127-49C5-8D47-CB210A3E913F}">
      <formula1>"[白], [黒], [赤], [白・黒],[オレンジ],[青],[青・黒]"</formula1>
    </dataValidation>
    <dataValidation type="list" allowBlank="1" showInputMessage="1" showErrorMessage="1" sqref="E4:E17" xr:uid="{F5C51AFD-643E-4364-A7E5-DB6D2A814DE3}">
      <formula1>"[白], [黒], [赤], [白・黒]"</formula1>
    </dataValidation>
    <dataValidation type="list" allowBlank="1" showInputMessage="1" showErrorMessage="1" sqref="D4:D26" xr:uid="{25EA2EBC-88A0-4C71-A53B-65D7EAFF38B4}">
      <formula1>"PLA, ABS, PC, PET-CF"</formula1>
    </dataValidation>
  </dataValidations>
  <pageMargins left="0.7" right="0.7" top="0.75" bottom="0.75" header="0.3" footer="0.3"/>
  <pageSetup paperSize="9" scale="64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D2A09-3A16-4A5D-A9AF-5AA6CB9C3B13}">
  <dimension ref="A1:M35"/>
  <sheetViews>
    <sheetView view="pageBreakPreview" topLeftCell="A6" zoomScaleNormal="100" zoomScaleSheetLayoutView="100" workbookViewId="0">
      <selection activeCell="E12" sqref="E12"/>
    </sheetView>
  </sheetViews>
  <sheetFormatPr defaultRowHeight="18.75"/>
  <cols>
    <col min="1" max="1" width="11.375" customWidth="1"/>
    <col min="2" max="2" width="27.375" customWidth="1"/>
    <col min="3" max="3" width="10.625" customWidth="1"/>
    <col min="4" max="4" width="9.5" customWidth="1"/>
    <col min="5" max="5" width="9.25" customWidth="1"/>
    <col min="6" max="6" width="8" customWidth="1"/>
    <col min="7" max="7" width="16.25" bestFit="1" customWidth="1"/>
    <col min="8" max="9" width="12.125" customWidth="1"/>
  </cols>
  <sheetData>
    <row r="1" spans="1:13" ht="30">
      <c r="A1" s="1" t="s">
        <v>0</v>
      </c>
    </row>
    <row r="3" spans="1:13" ht="19.5" thickBot="1">
      <c r="A3" s="2" t="s">
        <v>1</v>
      </c>
      <c r="B3" s="2" t="s">
        <v>2</v>
      </c>
      <c r="C3" s="2" t="s">
        <v>3</v>
      </c>
      <c r="D3" s="48" t="s">
        <v>4</v>
      </c>
      <c r="E3" s="49"/>
      <c r="F3" s="2" t="s">
        <v>5</v>
      </c>
      <c r="G3" s="2" t="s">
        <v>6</v>
      </c>
      <c r="H3" s="2" t="s">
        <v>19</v>
      </c>
      <c r="I3" s="2" t="s">
        <v>20</v>
      </c>
      <c r="J3" s="4" t="s">
        <v>209</v>
      </c>
    </row>
    <row r="4" spans="1:13" ht="30" customHeight="1">
      <c r="A4" s="3">
        <v>45860</v>
      </c>
      <c r="B4" s="6" t="s">
        <v>124</v>
      </c>
      <c r="C4" s="13" t="s">
        <v>132</v>
      </c>
      <c r="D4" s="15" t="s">
        <v>86</v>
      </c>
      <c r="E4" s="27"/>
      <c r="F4" s="19">
        <v>32</v>
      </c>
      <c r="G4" s="33" t="s">
        <v>165</v>
      </c>
      <c r="H4" s="4" t="s">
        <v>84</v>
      </c>
      <c r="I4" s="23">
        <f>IF(OR(D4="",C4="",F4=""), "", (F4/1000)*VLOOKUP(D4,$A$27:$B$30,2,FALSE) + IF(ISNUMBER(FIND("h",C4)), VALUE(LEFT(C4,FIND("h",C4)-1)) + VALUE(MID(C4,FIND("h",C4)+2,FIND("m",C4)-FIND("h",C4)-3))/60, VALUE(TRIM(LEFT(C4,FIND("m",C4)-1)))/60)*15)</f>
        <v>640.77</v>
      </c>
      <c r="J4" s="35">
        <f>22500-289.79</f>
        <v>22210.21</v>
      </c>
      <c r="K4" s="35" t="s">
        <v>214</v>
      </c>
      <c r="L4" s="35" t="s">
        <v>215</v>
      </c>
      <c r="M4">
        <v>47</v>
      </c>
    </row>
    <row r="5" spans="1:13" ht="30" customHeight="1">
      <c r="A5" s="5">
        <v>45863</v>
      </c>
      <c r="B5" s="6" t="s">
        <v>140</v>
      </c>
      <c r="C5" s="6" t="s">
        <v>133</v>
      </c>
      <c r="D5" s="16" t="s">
        <v>63</v>
      </c>
      <c r="E5" s="29" t="s">
        <v>103</v>
      </c>
      <c r="F5" s="20">
        <v>93</v>
      </c>
      <c r="G5" s="26" t="s">
        <v>166</v>
      </c>
      <c r="H5" s="4" t="s">
        <v>84</v>
      </c>
      <c r="I5" s="23">
        <f t="shared" ref="I5:I26" si="0">IF(OR(D5="",C5="",F5=""), "", (F5/1000)*VLOOKUP(D5,$A$27:$B$30,2,FALSE) + IF(ISNUMBER(FIND("h",C5)), VALUE(LEFT(C5,FIND("h",C5)-1)) + VALUE(MID(C5,FIND("h",C5)+2,FIND("m",C5)-FIND("h",C5)-3))/60, VALUE(TRIM(LEFT(C5,FIND("m",C5)-1)))/60)*15)</f>
        <v>403.2</v>
      </c>
      <c r="K5" t="s">
        <v>214</v>
      </c>
      <c r="L5" t="s">
        <v>217</v>
      </c>
      <c r="M5">
        <v>48</v>
      </c>
    </row>
    <row r="6" spans="1:13" ht="30" customHeight="1">
      <c r="A6" s="5">
        <v>45866</v>
      </c>
      <c r="B6" t="s">
        <v>145</v>
      </c>
      <c r="C6" s="6" t="s">
        <v>134</v>
      </c>
      <c r="D6" s="16" t="s">
        <v>60</v>
      </c>
      <c r="E6" s="29" t="s">
        <v>106</v>
      </c>
      <c r="F6" s="19">
        <v>28</v>
      </c>
      <c r="G6" s="26" t="s">
        <v>167</v>
      </c>
      <c r="H6" s="4" t="s">
        <v>84</v>
      </c>
      <c r="I6" s="23">
        <f t="shared" si="0"/>
        <v>112.15</v>
      </c>
      <c r="K6" t="s">
        <v>211</v>
      </c>
      <c r="L6" t="s">
        <v>218</v>
      </c>
      <c r="M6">
        <v>49</v>
      </c>
    </row>
    <row r="7" spans="1:13" ht="30" customHeight="1">
      <c r="A7" s="5">
        <v>45867</v>
      </c>
      <c r="B7" s="6" t="s">
        <v>143</v>
      </c>
      <c r="C7" s="6" t="s">
        <v>85</v>
      </c>
      <c r="D7" s="16" t="s">
        <v>60</v>
      </c>
      <c r="E7" s="29" t="s">
        <v>106</v>
      </c>
      <c r="F7" s="20">
        <v>4</v>
      </c>
      <c r="G7" s="11" t="s">
        <v>168</v>
      </c>
      <c r="H7" s="4" t="s">
        <v>84</v>
      </c>
      <c r="I7" s="23">
        <f t="shared" si="0"/>
        <v>19.700000000000003</v>
      </c>
      <c r="K7" t="s">
        <v>213</v>
      </c>
      <c r="L7" t="s">
        <v>216</v>
      </c>
      <c r="M7">
        <v>50</v>
      </c>
    </row>
    <row r="8" spans="1:13" ht="30" customHeight="1">
      <c r="A8" s="5">
        <v>45867</v>
      </c>
      <c r="B8" s="6" t="s">
        <v>144</v>
      </c>
      <c r="C8" s="6" t="s">
        <v>28</v>
      </c>
      <c r="D8" s="16" t="s">
        <v>60</v>
      </c>
      <c r="E8" s="29" t="s">
        <v>103</v>
      </c>
      <c r="F8" s="28">
        <v>4.8</v>
      </c>
      <c r="G8" s="11" t="s">
        <v>186</v>
      </c>
      <c r="H8" s="6" t="s">
        <v>146</v>
      </c>
      <c r="I8" s="23">
        <f t="shared" si="0"/>
        <v>22.189999999999998</v>
      </c>
      <c r="K8" t="s">
        <v>213</v>
      </c>
      <c r="L8" t="s">
        <v>216</v>
      </c>
      <c r="M8">
        <v>51</v>
      </c>
    </row>
    <row r="9" spans="1:13" ht="30" customHeight="1">
      <c r="A9" s="5">
        <v>45868</v>
      </c>
      <c r="B9" t="s">
        <v>145</v>
      </c>
      <c r="C9" s="6" t="s">
        <v>102</v>
      </c>
      <c r="D9" s="16" t="s">
        <v>60</v>
      </c>
      <c r="E9" s="29" t="s">
        <v>106</v>
      </c>
      <c r="F9" s="19">
        <v>28</v>
      </c>
      <c r="G9" s="11" t="s">
        <v>184</v>
      </c>
      <c r="H9" s="4" t="s">
        <v>84</v>
      </c>
      <c r="I9" s="23">
        <f t="shared" si="0"/>
        <v>112.9</v>
      </c>
      <c r="K9" t="s">
        <v>211</v>
      </c>
      <c r="L9" t="s">
        <v>218</v>
      </c>
      <c r="M9">
        <v>52</v>
      </c>
    </row>
    <row r="10" spans="1:13" ht="30" customHeight="1">
      <c r="A10" s="5">
        <v>45868</v>
      </c>
      <c r="B10" s="6" t="s">
        <v>143</v>
      </c>
      <c r="C10" s="6" t="s">
        <v>135</v>
      </c>
      <c r="D10" s="16" t="s">
        <v>60</v>
      </c>
      <c r="E10" s="17" t="s">
        <v>103</v>
      </c>
      <c r="F10" s="20">
        <v>24</v>
      </c>
      <c r="G10" s="11" t="s">
        <v>168</v>
      </c>
      <c r="H10" s="4" t="s">
        <v>84</v>
      </c>
      <c r="I10" s="23">
        <f t="shared" si="0"/>
        <v>96.45</v>
      </c>
      <c r="K10" t="s">
        <v>213</v>
      </c>
      <c r="L10" t="s">
        <v>216</v>
      </c>
      <c r="M10">
        <v>53</v>
      </c>
    </row>
    <row r="11" spans="1:13" ht="30" customHeight="1">
      <c r="A11" s="5">
        <v>45869</v>
      </c>
      <c r="B11" s="6" t="s">
        <v>164</v>
      </c>
      <c r="C11" s="6" t="s">
        <v>76</v>
      </c>
      <c r="D11" s="16" t="s">
        <v>86</v>
      </c>
      <c r="E11" s="17"/>
      <c r="F11" s="19">
        <v>146</v>
      </c>
      <c r="G11" s="11" t="s">
        <v>185</v>
      </c>
      <c r="H11" s="4" t="s">
        <v>84</v>
      </c>
      <c r="I11" s="23">
        <f t="shared" si="0"/>
        <v>2791.31</v>
      </c>
      <c r="K11" t="s">
        <v>214</v>
      </c>
      <c r="L11" t="s">
        <v>217</v>
      </c>
      <c r="M11">
        <v>54</v>
      </c>
    </row>
    <row r="12" spans="1:13" ht="30" customHeight="1">
      <c r="A12" s="5">
        <v>45869</v>
      </c>
      <c r="B12" s="11" t="s">
        <v>141</v>
      </c>
      <c r="C12" s="6" t="s">
        <v>136</v>
      </c>
      <c r="D12" s="16" t="s">
        <v>60</v>
      </c>
      <c r="E12" s="17" t="s">
        <v>65</v>
      </c>
      <c r="F12" s="20">
        <v>48</v>
      </c>
      <c r="G12" s="11" t="s">
        <v>82</v>
      </c>
      <c r="H12" s="6" t="s">
        <v>82</v>
      </c>
      <c r="I12" s="23">
        <f t="shared" si="0"/>
        <v>157.65</v>
      </c>
      <c r="K12" t="s">
        <v>214</v>
      </c>
      <c r="L12" t="s">
        <v>216</v>
      </c>
      <c r="M12">
        <v>55</v>
      </c>
    </row>
    <row r="13" spans="1:13" ht="30" customHeight="1">
      <c r="A13" s="5">
        <v>45870</v>
      </c>
      <c r="B13" s="6" t="s">
        <v>142</v>
      </c>
      <c r="C13" s="10" t="s">
        <v>137</v>
      </c>
      <c r="D13" s="16" t="s">
        <v>60</v>
      </c>
      <c r="E13" s="17" t="s">
        <v>65</v>
      </c>
      <c r="F13" s="20">
        <v>6</v>
      </c>
      <c r="G13" s="11" t="s">
        <v>186</v>
      </c>
      <c r="H13" s="6" t="s">
        <v>146</v>
      </c>
      <c r="I13" s="23">
        <f>IF(OR(D13="",C13="",F13=""), "", (F13/1000)*VLOOKUP(D13,$A$27:$B$30,2,FALSE) + IF(ISNUMBER(FIND("h",C13)), VALUE(LEFT(C13,FIND("h",C13)-1)) + VALUE(MID(C13,FIND("h",C13)+2,FIND("m",C13)-FIND("h",C13)-3))/60, VALUE(TRIM(LEFT(C13,FIND("m",C13)-1)))/60)*15)</f>
        <v>25.8</v>
      </c>
      <c r="K13" t="s">
        <v>213</v>
      </c>
      <c r="L13" t="s">
        <v>216</v>
      </c>
      <c r="M13">
        <v>56</v>
      </c>
    </row>
    <row r="14" spans="1:13" ht="30" customHeight="1">
      <c r="A14" s="5">
        <v>45869</v>
      </c>
      <c r="B14" s="11" t="s">
        <v>147</v>
      </c>
      <c r="C14" s="6" t="s">
        <v>139</v>
      </c>
      <c r="D14" s="16" t="s">
        <v>60</v>
      </c>
      <c r="E14" s="17" t="s">
        <v>65</v>
      </c>
      <c r="F14" s="19">
        <v>242</v>
      </c>
      <c r="G14" s="6" t="s">
        <v>82</v>
      </c>
      <c r="H14" s="6" t="s">
        <v>82</v>
      </c>
      <c r="I14" s="23">
        <f t="shared" ref="I14" si="1">IF(OR(D14="",C14="",F14=""), "", (F14/1000)*VLOOKUP(D14,$A$27:$B$30,2,FALSE) + IF(ISNUMBER(FIND("h",C14)), VALUE(LEFT(C14,FIND("h",C14)-1)) + VALUE(MID(C14,FIND("h",C14)+2,FIND("m",C14)-FIND("h",C14)-3))/60, VALUE(TRIM(LEFT(C14,FIND("m",C14)-1)))/60)*15)</f>
        <v>762.85</v>
      </c>
      <c r="K14" t="s">
        <v>214</v>
      </c>
      <c r="L14" t="s">
        <v>216</v>
      </c>
      <c r="M14">
        <v>57</v>
      </c>
    </row>
    <row r="15" spans="1:13" ht="30" customHeight="1">
      <c r="A15" s="5">
        <v>45870</v>
      </c>
      <c r="B15" s="30" t="s">
        <v>148</v>
      </c>
      <c r="C15" s="6" t="s">
        <v>138</v>
      </c>
      <c r="D15" s="16" t="s">
        <v>60</v>
      </c>
      <c r="E15" s="17" t="s">
        <v>65</v>
      </c>
      <c r="F15" s="21">
        <v>78</v>
      </c>
      <c r="G15" s="34" t="s">
        <v>181</v>
      </c>
      <c r="H15" s="34" t="s">
        <v>181</v>
      </c>
      <c r="I15" s="23">
        <f>IF(OR(D15="",C15="",F15=""), "", (F15/1000)*VLOOKUP(D15,$A$27:$B$30,2,FALSE) + IF(ISNUMBER(FIND("h",C15)), VALUE(LEFT(C15,FIND("h",C15)-1)) + VALUE(MID(C15,FIND("h",C15)+2,FIND("m",C15)-FIND("h",C15)-3))/60, VALUE(TRIM(LEFT(C15,FIND("m",C15)-1)))/60)*15)</f>
        <v>242.4</v>
      </c>
      <c r="K15" t="s">
        <v>214</v>
      </c>
      <c r="L15" t="s">
        <v>216</v>
      </c>
      <c r="M15">
        <v>58</v>
      </c>
    </row>
    <row r="16" spans="1:13" ht="30" customHeight="1">
      <c r="A16" s="5">
        <v>45873</v>
      </c>
      <c r="B16" s="6" t="s">
        <v>164</v>
      </c>
      <c r="C16" s="10" t="s">
        <v>149</v>
      </c>
      <c r="D16" s="16" t="s">
        <v>63</v>
      </c>
      <c r="E16" s="17" t="s">
        <v>103</v>
      </c>
      <c r="F16" s="20">
        <v>118</v>
      </c>
      <c r="G16" s="11" t="s">
        <v>166</v>
      </c>
      <c r="H16" s="4" t="s">
        <v>84</v>
      </c>
      <c r="I16" s="23">
        <f>IF(OR(D16="",C16="",F16=""), "", (F16/1000)*VLOOKUP(D16,$A$27:$B$30,2,FALSE) + IF(ISNUMBER(FIND("h",C16)), VALUE(LEFT(C16,FIND("h",C16)-1)) + VALUE(MID(C16,FIND("h",C16)+2,FIND("m",C16)-FIND("h",C16)-3))/60, VALUE(TRIM(LEFT(C16,FIND("m",C16)-1)))/60)*15)</f>
        <v>485.95</v>
      </c>
      <c r="K16" t="s">
        <v>214</v>
      </c>
      <c r="L16" t="s">
        <v>217</v>
      </c>
      <c r="M16">
        <v>59</v>
      </c>
    </row>
    <row r="17" spans="1:13" ht="30" customHeight="1">
      <c r="A17" s="5">
        <v>45874</v>
      </c>
      <c r="B17" s="6" t="s">
        <v>189</v>
      </c>
      <c r="C17" s="6" t="s">
        <v>150</v>
      </c>
      <c r="D17" s="16" t="s">
        <v>86</v>
      </c>
      <c r="E17" s="17"/>
      <c r="F17" s="20">
        <v>26</v>
      </c>
      <c r="G17" s="11" t="s">
        <v>184</v>
      </c>
      <c r="H17" s="34" t="s">
        <v>181</v>
      </c>
      <c r="I17" s="23">
        <f t="shared" si="0"/>
        <v>504.60999999999996</v>
      </c>
      <c r="J17" s="35">
        <f>15000-504.61</f>
        <v>14495.39</v>
      </c>
      <c r="K17" s="35" t="s">
        <v>214</v>
      </c>
      <c r="L17" s="35" t="s">
        <v>215</v>
      </c>
      <c r="M17">
        <v>60</v>
      </c>
    </row>
    <row r="18" spans="1:13" ht="30" customHeight="1">
      <c r="A18" s="5">
        <v>45874</v>
      </c>
      <c r="B18" s="6" t="s">
        <v>178</v>
      </c>
      <c r="C18" s="6" t="s">
        <v>151</v>
      </c>
      <c r="D18" s="16" t="s">
        <v>60</v>
      </c>
      <c r="E18" s="17" t="s">
        <v>105</v>
      </c>
      <c r="F18" s="19">
        <v>19</v>
      </c>
      <c r="G18" s="11" t="s">
        <v>168</v>
      </c>
      <c r="H18" s="34" t="s">
        <v>181</v>
      </c>
      <c r="I18" s="23">
        <f t="shared" si="0"/>
        <v>70.699999999999989</v>
      </c>
      <c r="K18" t="s">
        <v>213</v>
      </c>
      <c r="L18" t="s">
        <v>216</v>
      </c>
      <c r="M18">
        <v>61</v>
      </c>
    </row>
    <row r="19" spans="1:13" ht="30" customHeight="1">
      <c r="A19" s="5">
        <v>45876</v>
      </c>
      <c r="B19" s="6" t="s">
        <v>164</v>
      </c>
      <c r="C19" s="6" t="s">
        <v>152</v>
      </c>
      <c r="D19" s="16" t="s">
        <v>63</v>
      </c>
      <c r="E19" s="17" t="s">
        <v>64</v>
      </c>
      <c r="F19" s="20">
        <v>95</v>
      </c>
      <c r="G19" s="11" t="s">
        <v>166</v>
      </c>
      <c r="H19" s="34" t="s">
        <v>181</v>
      </c>
      <c r="I19" s="23">
        <f t="shared" si="0"/>
        <v>400</v>
      </c>
      <c r="K19" t="s">
        <v>214</v>
      </c>
      <c r="L19" t="s">
        <v>217</v>
      </c>
      <c r="M19">
        <v>62</v>
      </c>
    </row>
    <row r="20" spans="1:13" ht="30" customHeight="1">
      <c r="A20" s="5">
        <v>45877</v>
      </c>
      <c r="B20" s="6" t="s">
        <v>179</v>
      </c>
      <c r="C20" s="6" t="s">
        <v>153</v>
      </c>
      <c r="D20" s="16" t="s">
        <v>60</v>
      </c>
      <c r="E20" s="17" t="s">
        <v>105</v>
      </c>
      <c r="F20" s="19">
        <v>45</v>
      </c>
      <c r="G20" s="11" t="s">
        <v>183</v>
      </c>
      <c r="H20" s="34" t="s">
        <v>181</v>
      </c>
      <c r="I20" s="23">
        <f t="shared" si="0"/>
        <v>165.25</v>
      </c>
      <c r="K20" t="s">
        <v>210</v>
      </c>
      <c r="L20" t="s">
        <v>219</v>
      </c>
      <c r="M20">
        <v>63</v>
      </c>
    </row>
    <row r="21" spans="1:13" ht="30" customHeight="1">
      <c r="A21" s="5">
        <v>45877</v>
      </c>
      <c r="B21" s="6" t="s">
        <v>178</v>
      </c>
      <c r="C21" s="6" t="s">
        <v>154</v>
      </c>
      <c r="D21" s="16" t="s">
        <v>60</v>
      </c>
      <c r="E21" s="17" t="s">
        <v>105</v>
      </c>
      <c r="F21" s="20">
        <v>19</v>
      </c>
      <c r="G21" s="26" t="s">
        <v>168</v>
      </c>
      <c r="H21" s="34" t="s">
        <v>181</v>
      </c>
      <c r="I21" s="23">
        <f t="shared" si="0"/>
        <v>70.949999999999989</v>
      </c>
      <c r="K21" t="s">
        <v>213</v>
      </c>
      <c r="L21" t="s">
        <v>216</v>
      </c>
      <c r="M21">
        <v>64</v>
      </c>
    </row>
    <row r="22" spans="1:13" ht="30" customHeight="1">
      <c r="A22" s="5">
        <v>45889</v>
      </c>
      <c r="B22" s="6" t="s">
        <v>177</v>
      </c>
      <c r="C22" s="6" t="s">
        <v>155</v>
      </c>
      <c r="D22" s="16" t="s">
        <v>60</v>
      </c>
      <c r="E22" s="17" t="s">
        <v>105</v>
      </c>
      <c r="F22" s="19">
        <v>90</v>
      </c>
      <c r="G22" s="11" t="s">
        <v>182</v>
      </c>
      <c r="H22" s="34" t="s">
        <v>181</v>
      </c>
      <c r="I22" s="23">
        <f t="shared" si="0"/>
        <v>306.25</v>
      </c>
      <c r="K22" t="s">
        <v>210</v>
      </c>
      <c r="L22" t="s">
        <v>218</v>
      </c>
      <c r="M22">
        <v>65</v>
      </c>
    </row>
    <row r="23" spans="1:13" ht="30" customHeight="1">
      <c r="A23" s="5">
        <v>45890</v>
      </c>
      <c r="B23" s="11" t="s">
        <v>175</v>
      </c>
      <c r="C23" s="6" t="s">
        <v>156</v>
      </c>
      <c r="D23" s="16" t="s">
        <v>60</v>
      </c>
      <c r="E23" s="17" t="s">
        <v>65</v>
      </c>
      <c r="F23" s="8">
        <v>40</v>
      </c>
      <c r="G23" s="26" t="s">
        <v>82</v>
      </c>
      <c r="H23" s="26" t="s">
        <v>82</v>
      </c>
      <c r="I23" s="23">
        <f t="shared" si="0"/>
        <v>133</v>
      </c>
      <c r="K23" t="s">
        <v>214</v>
      </c>
      <c r="L23" t="s">
        <v>216</v>
      </c>
      <c r="M23">
        <v>66</v>
      </c>
    </row>
    <row r="24" spans="1:13" ht="30" customHeight="1">
      <c r="A24" s="5">
        <v>45890</v>
      </c>
      <c r="B24" s="11" t="s">
        <v>176</v>
      </c>
      <c r="C24" s="6" t="s">
        <v>22</v>
      </c>
      <c r="D24" s="16" t="s">
        <v>60</v>
      </c>
      <c r="E24" s="17" t="s">
        <v>65</v>
      </c>
      <c r="F24" s="19">
        <v>10</v>
      </c>
      <c r="G24" s="34" t="s">
        <v>181</v>
      </c>
      <c r="H24" s="34" t="s">
        <v>181</v>
      </c>
      <c r="I24" s="23">
        <f t="shared" si="0"/>
        <v>33.75</v>
      </c>
      <c r="K24" t="s">
        <v>214</v>
      </c>
      <c r="L24" t="s">
        <v>216</v>
      </c>
      <c r="M24">
        <v>67</v>
      </c>
    </row>
    <row r="25" spans="1:13" ht="30" customHeight="1">
      <c r="A25" s="5">
        <v>45891</v>
      </c>
      <c r="B25" s="6" t="s">
        <v>177</v>
      </c>
      <c r="C25" s="6" t="s">
        <v>155</v>
      </c>
      <c r="D25" s="16" t="s">
        <v>60</v>
      </c>
      <c r="E25" s="17" t="s">
        <v>105</v>
      </c>
      <c r="F25" s="8">
        <v>80</v>
      </c>
      <c r="G25" s="11" t="s">
        <v>182</v>
      </c>
      <c r="H25" s="4" t="s">
        <v>84</v>
      </c>
      <c r="I25" s="23">
        <f t="shared" si="0"/>
        <v>278.25</v>
      </c>
      <c r="K25" t="s">
        <v>210</v>
      </c>
      <c r="L25" t="s">
        <v>218</v>
      </c>
      <c r="M25">
        <v>68</v>
      </c>
    </row>
    <row r="26" spans="1:13" ht="30" customHeight="1">
      <c r="A26" s="5">
        <v>45896</v>
      </c>
      <c r="B26" s="6" t="s">
        <v>174</v>
      </c>
      <c r="C26" s="6" t="s">
        <v>157</v>
      </c>
      <c r="D26" s="16" t="s">
        <v>60</v>
      </c>
      <c r="E26" s="17" t="s">
        <v>61</v>
      </c>
      <c r="F26" s="8">
        <v>53</v>
      </c>
      <c r="G26" s="4" t="s">
        <v>169</v>
      </c>
      <c r="H26" s="34" t="s">
        <v>181</v>
      </c>
      <c r="I26" s="23">
        <f t="shared" si="0"/>
        <v>172.9</v>
      </c>
      <c r="K26" t="s">
        <v>210</v>
      </c>
      <c r="L26" t="s">
        <v>215</v>
      </c>
      <c r="M26">
        <v>69</v>
      </c>
    </row>
    <row r="27" spans="1:13" ht="30" customHeight="1">
      <c r="A27" s="18" t="s">
        <v>67</v>
      </c>
      <c r="B27" s="22">
        <v>2800</v>
      </c>
      <c r="C27" s="31" t="s">
        <v>21</v>
      </c>
      <c r="D27" s="31"/>
      <c r="E27" s="31"/>
      <c r="F27" s="31"/>
      <c r="G27" s="31"/>
      <c r="H27" s="31" t="s">
        <v>163</v>
      </c>
      <c r="I27" s="32">
        <f>SUM(I4:I26)</f>
        <v>8008.9799999999987</v>
      </c>
    </row>
    <row r="28" spans="1:13" ht="30" customHeight="1">
      <c r="A28" t="s">
        <v>68</v>
      </c>
      <c r="B28" s="22">
        <v>3400</v>
      </c>
    </row>
    <row r="29" spans="1:13" ht="30" customHeight="1">
      <c r="A29" t="s">
        <v>69</v>
      </c>
      <c r="B29" s="22">
        <v>7280</v>
      </c>
    </row>
    <row r="30" spans="1:13" ht="30" customHeight="1">
      <c r="A30" t="s">
        <v>70</v>
      </c>
      <c r="B30" s="22">
        <v>18360</v>
      </c>
    </row>
    <row r="31" spans="1:13" ht="30" customHeight="1"/>
    <row r="32" spans="1:13" ht="30" customHeight="1"/>
    <row r="33" ht="30" customHeight="1"/>
    <row r="34" ht="30" customHeight="1"/>
    <row r="35" ht="30" customHeight="1"/>
  </sheetData>
  <mergeCells count="1">
    <mergeCell ref="D3:E3"/>
  </mergeCells>
  <phoneticPr fontId="1"/>
  <dataValidations count="3">
    <dataValidation type="list" allowBlank="1" showInputMessage="1" showErrorMessage="1" sqref="D4:D26" xr:uid="{E94A5EE7-471E-4605-9DC1-C013316975B7}">
      <formula1>"PLA, ABS, PC, PET-CF"</formula1>
    </dataValidation>
    <dataValidation type="list" allowBlank="1" showInputMessage="1" showErrorMessage="1" sqref="E10:E26" xr:uid="{45D1E623-19A2-47D1-AC37-4E6BD84CDDDE}">
      <formula1>"[白], [黒], [赤], [白・黒],[オレンジ],[青],[青・黒]"</formula1>
    </dataValidation>
    <dataValidation type="list" allowBlank="1" showInputMessage="1" showErrorMessage="1" sqref="E4:E9" xr:uid="{CDC26F68-DA92-405B-9F90-31166DB4F518}">
      <formula1>"[白], [黒], [赤],[青],[オレンジ],[白・黒],[青・黒],[青・白]"</formula1>
    </dataValidation>
  </dataValidations>
  <pageMargins left="0.7" right="0.7" top="0.75" bottom="0.75" header="0.3" footer="0.3"/>
  <pageSetup paperSize="9" scale="64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24FA2-958E-4986-846F-C473CA0FF0E8}">
  <dimension ref="A1:M35"/>
  <sheetViews>
    <sheetView view="pageBreakPreview" zoomScaleNormal="100" zoomScaleSheetLayoutView="100" workbookViewId="0">
      <selection activeCell="C1" sqref="C1"/>
    </sheetView>
  </sheetViews>
  <sheetFormatPr defaultRowHeight="18.75"/>
  <cols>
    <col min="1" max="1" width="11.375" customWidth="1"/>
    <col min="2" max="2" width="27.375" customWidth="1"/>
    <col min="3" max="3" width="10.625" customWidth="1"/>
    <col min="4" max="4" width="9.5" customWidth="1"/>
    <col min="5" max="5" width="11.25" customWidth="1"/>
    <col min="6" max="6" width="8" customWidth="1"/>
    <col min="7" max="7" width="16.25" bestFit="1" customWidth="1"/>
    <col min="8" max="9" width="12.125" customWidth="1"/>
    <col min="10" max="10" width="9.25" bestFit="1" customWidth="1"/>
    <col min="11" max="12" width="9.25" customWidth="1"/>
  </cols>
  <sheetData>
    <row r="1" spans="1:13" ht="30">
      <c r="A1" s="1" t="s">
        <v>0</v>
      </c>
    </row>
    <row r="3" spans="1:13" ht="19.5" thickBot="1">
      <c r="A3" s="2" t="s">
        <v>1</v>
      </c>
      <c r="B3" s="2" t="s">
        <v>2</v>
      </c>
      <c r="C3" s="2" t="s">
        <v>3</v>
      </c>
      <c r="D3" s="48" t="s">
        <v>4</v>
      </c>
      <c r="E3" s="49"/>
      <c r="F3" s="2" t="s">
        <v>5</v>
      </c>
      <c r="G3" s="2" t="s">
        <v>6</v>
      </c>
      <c r="H3" s="2" t="s">
        <v>19</v>
      </c>
      <c r="I3" s="2" t="s">
        <v>20</v>
      </c>
      <c r="J3" s="4" t="s">
        <v>202</v>
      </c>
    </row>
    <row r="4" spans="1:13" ht="30" customHeight="1">
      <c r="A4" s="3">
        <v>45904</v>
      </c>
      <c r="B4" s="4" t="s">
        <v>187</v>
      </c>
      <c r="C4" s="13" t="s">
        <v>162</v>
      </c>
      <c r="D4" s="15" t="s">
        <v>60</v>
      </c>
      <c r="E4" s="14" t="s">
        <v>104</v>
      </c>
      <c r="F4" s="19">
        <v>94</v>
      </c>
      <c r="G4" s="4" t="s">
        <v>169</v>
      </c>
      <c r="H4" s="4" t="s">
        <v>180</v>
      </c>
      <c r="I4" s="23">
        <f>IF(OR(D4="",C4="",F4=""), "", (F4/1000)*VLOOKUP(D4,$A$27:$B$30,2,FALSE) + IF(ISNUMBER(FIND("h",C4)), VALUE(LEFT(C4,FIND("h",C4)-1)) + VALUE(MID(C4,FIND("h",C4)+2,FIND("m",C4)-FIND("h",C4)-3))/60, VALUE(TRIM(LEFT(C4,FIND("m",C4)-1)))/60)*15)</f>
        <v>401.95</v>
      </c>
      <c r="K4" t="s">
        <v>213</v>
      </c>
      <c r="L4" t="s">
        <v>215</v>
      </c>
      <c r="M4">
        <v>70</v>
      </c>
    </row>
    <row r="5" spans="1:13" ht="30" customHeight="1">
      <c r="A5" s="5">
        <v>45905</v>
      </c>
      <c r="B5" s="6" t="s">
        <v>188</v>
      </c>
      <c r="C5" s="6" t="s">
        <v>161</v>
      </c>
      <c r="D5" s="16" t="s">
        <v>60</v>
      </c>
      <c r="E5" s="29" t="s">
        <v>61</v>
      </c>
      <c r="F5" s="20">
        <v>212</v>
      </c>
      <c r="G5" s="34" t="s">
        <v>181</v>
      </c>
      <c r="H5" s="34" t="s">
        <v>181</v>
      </c>
      <c r="I5" s="23">
        <f t="shared" ref="I5:I26" si="0">IF(OR(D5="",C5="",F5=""), "", (F5/1000)*VLOOKUP(D5,$A$27:$B$30,2,FALSE) + IF(ISNUMBER(FIND("h",C5)), VALUE(LEFT(C5,FIND("h",C5)-1)) + VALUE(MID(C5,FIND("h",C5)+2,FIND("m",C5)-FIND("h",C5)-3))/60, VALUE(TRIM(LEFT(C5,FIND("m",C5)-1)))/60)*15)</f>
        <v>693.6</v>
      </c>
      <c r="K5" t="s">
        <v>210</v>
      </c>
      <c r="L5" t="s">
        <v>216</v>
      </c>
      <c r="M5">
        <v>71</v>
      </c>
    </row>
    <row r="6" spans="1:13" ht="30" customHeight="1">
      <c r="A6" s="5">
        <v>45908</v>
      </c>
      <c r="B6" s="6" t="s">
        <v>173</v>
      </c>
      <c r="C6" s="6" t="s">
        <v>160</v>
      </c>
      <c r="D6" s="16" t="s">
        <v>60</v>
      </c>
      <c r="E6" s="29" t="s">
        <v>62</v>
      </c>
      <c r="F6" s="19">
        <v>29</v>
      </c>
      <c r="G6" s="34" t="s">
        <v>181</v>
      </c>
      <c r="H6" s="34" t="s">
        <v>181</v>
      </c>
      <c r="I6" s="23">
        <f t="shared" si="0"/>
        <v>129.44999999999999</v>
      </c>
      <c r="K6" t="s">
        <v>210</v>
      </c>
      <c r="L6" t="s">
        <v>216</v>
      </c>
      <c r="M6">
        <v>72</v>
      </c>
    </row>
    <row r="7" spans="1:13" ht="30" customHeight="1">
      <c r="A7" s="5">
        <v>45908</v>
      </c>
      <c r="B7" s="6" t="s">
        <v>172</v>
      </c>
      <c r="C7" s="6" t="s">
        <v>159</v>
      </c>
      <c r="D7" s="16" t="s">
        <v>63</v>
      </c>
      <c r="E7" s="29" t="s">
        <v>64</v>
      </c>
      <c r="F7" s="20">
        <v>120</v>
      </c>
      <c r="G7" s="34" t="s">
        <v>181</v>
      </c>
      <c r="H7" s="34" t="s">
        <v>181</v>
      </c>
      <c r="I7" s="23">
        <f t="shared" si="0"/>
        <v>516</v>
      </c>
      <c r="K7" t="s">
        <v>210</v>
      </c>
      <c r="L7" t="s">
        <v>216</v>
      </c>
      <c r="M7">
        <v>73</v>
      </c>
    </row>
    <row r="8" spans="1:13" ht="30" customHeight="1">
      <c r="A8" s="5">
        <v>45909</v>
      </c>
      <c r="B8" s="6" t="s">
        <v>171</v>
      </c>
      <c r="C8" s="6" t="s">
        <v>48</v>
      </c>
      <c r="D8" s="16" t="s">
        <v>60</v>
      </c>
      <c r="E8" s="29" t="s">
        <v>105</v>
      </c>
      <c r="F8" s="20">
        <v>69</v>
      </c>
      <c r="G8" s="34" t="s">
        <v>181</v>
      </c>
      <c r="H8" s="34" t="s">
        <v>181</v>
      </c>
      <c r="I8" s="23">
        <f t="shared" si="0"/>
        <v>271.70000000000005</v>
      </c>
      <c r="K8" t="s">
        <v>211</v>
      </c>
      <c r="L8" t="s">
        <v>215</v>
      </c>
      <c r="M8">
        <v>74</v>
      </c>
    </row>
    <row r="9" spans="1:13" ht="30" customHeight="1">
      <c r="A9" s="5">
        <v>45910</v>
      </c>
      <c r="B9" s="6" t="s">
        <v>170</v>
      </c>
      <c r="C9" s="6" t="s">
        <v>158</v>
      </c>
      <c r="D9" s="16" t="s">
        <v>60</v>
      </c>
      <c r="E9" s="29" t="s">
        <v>103</v>
      </c>
      <c r="F9" s="19">
        <v>69</v>
      </c>
      <c r="G9" s="34" t="s">
        <v>181</v>
      </c>
      <c r="H9" s="34" t="s">
        <v>181</v>
      </c>
      <c r="I9" s="23">
        <f t="shared" si="0"/>
        <v>203.20000000000002</v>
      </c>
      <c r="J9" s="36">
        <f>4600-203.2</f>
        <v>4396.8</v>
      </c>
      <c r="K9" s="36" t="s">
        <v>214</v>
      </c>
      <c r="L9" s="36" t="s">
        <v>215</v>
      </c>
      <c r="M9">
        <v>75</v>
      </c>
    </row>
    <row r="10" spans="1:13" ht="30" customHeight="1">
      <c r="A10" s="5">
        <v>45916</v>
      </c>
      <c r="B10" s="6" t="s">
        <v>190</v>
      </c>
      <c r="C10" s="6" t="s">
        <v>100</v>
      </c>
      <c r="D10" s="16" t="s">
        <v>60</v>
      </c>
      <c r="E10" s="29" t="s">
        <v>61</v>
      </c>
      <c r="F10" s="20">
        <v>10</v>
      </c>
      <c r="G10" s="25"/>
      <c r="H10" s="6" t="s">
        <v>82</v>
      </c>
      <c r="I10" s="23">
        <f t="shared" si="0"/>
        <v>35.25</v>
      </c>
      <c r="K10" t="s">
        <v>35</v>
      </c>
      <c r="L10" t="s">
        <v>216</v>
      </c>
      <c r="M10">
        <v>76</v>
      </c>
    </row>
    <row r="11" spans="1:13" ht="30" customHeight="1">
      <c r="A11" s="5">
        <v>45916</v>
      </c>
      <c r="B11" s="6" t="s">
        <v>191</v>
      </c>
      <c r="C11" s="6" t="s">
        <v>91</v>
      </c>
      <c r="D11" s="16" t="s">
        <v>60</v>
      </c>
      <c r="E11" s="29" t="s">
        <v>65</v>
      </c>
      <c r="F11" s="19">
        <v>114</v>
      </c>
      <c r="G11" s="11" t="s">
        <v>192</v>
      </c>
      <c r="H11" s="6" t="s">
        <v>193</v>
      </c>
      <c r="I11" s="23">
        <f t="shared" si="0"/>
        <v>358.7</v>
      </c>
      <c r="K11" t="s">
        <v>214</v>
      </c>
      <c r="L11" t="s">
        <v>216</v>
      </c>
      <c r="M11">
        <v>77</v>
      </c>
    </row>
    <row r="12" spans="1:13" ht="30" customHeight="1">
      <c r="A12" s="5">
        <v>45917</v>
      </c>
      <c r="B12" s="6" t="s">
        <v>190</v>
      </c>
      <c r="C12" s="6" t="s">
        <v>93</v>
      </c>
      <c r="D12" s="16" t="s">
        <v>66</v>
      </c>
      <c r="E12" s="29" t="s">
        <v>61</v>
      </c>
      <c r="F12" s="20">
        <v>10</v>
      </c>
      <c r="G12" s="25"/>
      <c r="H12" s="6" t="s">
        <v>82</v>
      </c>
      <c r="I12" s="23">
        <f t="shared" ref="I12" si="1">IF(OR(D12="",C12="",F12=""), "", (F12/1000)*VLOOKUP(D12,$A$27:$B$30,2,FALSE) + IF(ISNUMBER(FIND("h",C12)), VALUE(LEFT(C12,FIND("h",C12)-1)) + VALUE(MID(C12,FIND("h",C12)+2,FIND("m",C12)-FIND("h",C12)-3))/60, VALUE(TRIM(LEFT(C12,FIND("m",C12)-1)))/60)*15)</f>
        <v>79.05</v>
      </c>
      <c r="K12" t="s">
        <v>35</v>
      </c>
      <c r="L12" t="s">
        <v>216</v>
      </c>
      <c r="M12">
        <v>78</v>
      </c>
    </row>
    <row r="13" spans="1:13" ht="30" customHeight="1">
      <c r="A13" s="5">
        <v>45917</v>
      </c>
      <c r="B13" s="6" t="s">
        <v>194</v>
      </c>
      <c r="C13" s="6" t="s">
        <v>97</v>
      </c>
      <c r="D13" s="16" t="s">
        <v>66</v>
      </c>
      <c r="E13" s="29" t="s">
        <v>61</v>
      </c>
      <c r="F13" s="19">
        <v>1</v>
      </c>
      <c r="G13" s="11"/>
      <c r="H13" s="6" t="s">
        <v>82</v>
      </c>
      <c r="I13" s="23">
        <f t="shared" si="0"/>
        <v>12.030000000000001</v>
      </c>
      <c r="K13" t="s">
        <v>35</v>
      </c>
      <c r="L13" t="s">
        <v>216</v>
      </c>
      <c r="M13">
        <v>79</v>
      </c>
    </row>
    <row r="14" spans="1:13" ht="30" customHeight="1">
      <c r="A14" s="5">
        <v>45918</v>
      </c>
      <c r="B14" s="6" t="s">
        <v>195</v>
      </c>
      <c r="C14" s="10" t="s">
        <v>196</v>
      </c>
      <c r="D14" s="16" t="s">
        <v>60</v>
      </c>
      <c r="E14" s="29" t="s">
        <v>65</v>
      </c>
      <c r="F14" s="20">
        <v>363</v>
      </c>
      <c r="G14" s="11" t="s">
        <v>197</v>
      </c>
      <c r="H14" s="6" t="s">
        <v>82</v>
      </c>
      <c r="I14" s="23">
        <f t="shared" si="0"/>
        <v>1152.6500000000001</v>
      </c>
      <c r="K14" t="s">
        <v>214</v>
      </c>
      <c r="L14" t="s">
        <v>216</v>
      </c>
      <c r="M14">
        <v>80</v>
      </c>
    </row>
    <row r="15" spans="1:13" ht="30" customHeight="1">
      <c r="A15" s="5">
        <v>45931</v>
      </c>
      <c r="B15" s="6" t="s">
        <v>198</v>
      </c>
      <c r="C15" s="6" t="s">
        <v>199</v>
      </c>
      <c r="D15" s="16" t="s">
        <v>60</v>
      </c>
      <c r="E15" s="29" t="s">
        <v>103</v>
      </c>
      <c r="F15" s="21">
        <v>48</v>
      </c>
      <c r="G15" s="11" t="s">
        <v>200</v>
      </c>
      <c r="H15" s="6" t="s">
        <v>129</v>
      </c>
      <c r="I15" s="23">
        <f t="shared" si="0"/>
        <v>156.4</v>
      </c>
      <c r="K15" t="s">
        <v>213</v>
      </c>
      <c r="L15" t="s">
        <v>216</v>
      </c>
      <c r="M15">
        <v>81</v>
      </c>
    </row>
    <row r="16" spans="1:13" ht="30" customHeight="1">
      <c r="A16" s="5">
        <v>45918</v>
      </c>
      <c r="B16" s="6" t="s">
        <v>191</v>
      </c>
      <c r="C16" s="6" t="s">
        <v>201</v>
      </c>
      <c r="D16" s="16" t="s">
        <v>60</v>
      </c>
      <c r="E16" s="29" t="s">
        <v>65</v>
      </c>
      <c r="F16" s="19">
        <v>114</v>
      </c>
      <c r="G16" s="11" t="s">
        <v>192</v>
      </c>
      <c r="H16" s="6" t="s">
        <v>193</v>
      </c>
      <c r="I16" s="23">
        <f t="shared" si="0"/>
        <v>358.7</v>
      </c>
      <c r="K16" t="s">
        <v>214</v>
      </c>
      <c r="L16" t="s">
        <v>216</v>
      </c>
      <c r="M16">
        <v>82</v>
      </c>
    </row>
    <row r="17" spans="1:13" ht="30" customHeight="1">
      <c r="A17" s="5">
        <v>45918</v>
      </c>
      <c r="B17" s="6" t="s">
        <v>203</v>
      </c>
      <c r="C17" s="6" t="s">
        <v>204</v>
      </c>
      <c r="D17" s="16" t="s">
        <v>60</v>
      </c>
      <c r="E17" s="29" t="s">
        <v>65</v>
      </c>
      <c r="F17" s="19">
        <v>42</v>
      </c>
      <c r="G17" s="11" t="s">
        <v>192</v>
      </c>
      <c r="H17" s="6" t="s">
        <v>193</v>
      </c>
      <c r="I17" s="23">
        <f t="shared" ref="I17" si="2">IF(OR(D17="",C17="",F17=""), "", (F17/1000)*VLOOKUP(D17,$A$27:$B$30,2,FALSE) + IF(ISNUMBER(FIND("h",C17)), VALUE(LEFT(C17,FIND("h",C17)-1)) + VALUE(MID(C17,FIND("h",C17)+2,FIND("m",C17)-FIND("h",C17)-3))/60, VALUE(TRIM(LEFT(C17,FIND("m",C17)-1)))/60)*15)</f>
        <v>131.60000000000002</v>
      </c>
      <c r="K17" t="s">
        <v>214</v>
      </c>
      <c r="L17" t="s">
        <v>216</v>
      </c>
      <c r="M17">
        <v>83</v>
      </c>
    </row>
    <row r="18" spans="1:13" ht="30" customHeight="1">
      <c r="A18" s="5">
        <v>45919</v>
      </c>
      <c r="B18" s="6" t="s">
        <v>205</v>
      </c>
      <c r="C18" s="6" t="s">
        <v>206</v>
      </c>
      <c r="D18" s="16" t="s">
        <v>60</v>
      </c>
      <c r="E18" s="29"/>
      <c r="F18" s="19">
        <v>35</v>
      </c>
      <c r="G18" s="11" t="s">
        <v>8</v>
      </c>
      <c r="H18" s="6" t="s">
        <v>193</v>
      </c>
      <c r="I18" s="23">
        <f t="shared" si="0"/>
        <v>126.00000000000001</v>
      </c>
      <c r="K18" t="s">
        <v>35</v>
      </c>
      <c r="L18" t="s">
        <v>216</v>
      </c>
      <c r="M18">
        <v>84</v>
      </c>
    </row>
    <row r="19" spans="1:13" ht="30" customHeight="1">
      <c r="A19" s="5">
        <v>45925</v>
      </c>
      <c r="B19" s="6" t="s">
        <v>207</v>
      </c>
      <c r="C19" s="6" t="s">
        <v>137</v>
      </c>
      <c r="D19" s="16" t="s">
        <v>60</v>
      </c>
      <c r="E19" s="29" t="s">
        <v>103</v>
      </c>
      <c r="F19" s="20">
        <v>3</v>
      </c>
      <c r="G19" s="11" t="s">
        <v>208</v>
      </c>
      <c r="H19" s="6" t="s">
        <v>193</v>
      </c>
      <c r="I19" s="23">
        <f t="shared" si="0"/>
        <v>17.399999999999999</v>
      </c>
      <c r="K19" t="s">
        <v>213</v>
      </c>
      <c r="L19" t="s">
        <v>216</v>
      </c>
      <c r="M19">
        <v>85</v>
      </c>
    </row>
    <row r="20" spans="1:13" ht="30" customHeight="1">
      <c r="A20" s="5">
        <v>45931</v>
      </c>
      <c r="B20" s="6" t="s">
        <v>81</v>
      </c>
      <c r="C20" s="6" t="s">
        <v>22</v>
      </c>
      <c r="D20" s="16" t="s">
        <v>60</v>
      </c>
      <c r="E20" s="29" t="s">
        <v>221</v>
      </c>
      <c r="F20" s="19">
        <v>5</v>
      </c>
      <c r="G20" s="11" t="s">
        <v>8</v>
      </c>
      <c r="H20" s="6" t="s">
        <v>193</v>
      </c>
      <c r="I20" s="23">
        <f t="shared" si="0"/>
        <v>19.75</v>
      </c>
      <c r="K20" t="s">
        <v>213</v>
      </c>
      <c r="L20" t="s">
        <v>216</v>
      </c>
      <c r="M20">
        <v>86</v>
      </c>
    </row>
    <row r="21" spans="1:13" ht="30" customHeight="1">
      <c r="A21" s="5">
        <v>45931</v>
      </c>
      <c r="B21" s="6" t="s">
        <v>198</v>
      </c>
      <c r="C21" s="6" t="s">
        <v>223</v>
      </c>
      <c r="D21" s="16" t="s">
        <v>60</v>
      </c>
      <c r="E21" s="29" t="s">
        <v>103</v>
      </c>
      <c r="F21" s="20">
        <v>59.2</v>
      </c>
      <c r="G21" s="6" t="s">
        <v>230</v>
      </c>
      <c r="H21" s="6" t="s">
        <v>222</v>
      </c>
      <c r="I21" s="23">
        <f t="shared" si="0"/>
        <v>191.26000000000002</v>
      </c>
      <c r="K21" t="s">
        <v>213</v>
      </c>
      <c r="L21" t="s">
        <v>216</v>
      </c>
      <c r="M21">
        <v>87</v>
      </c>
    </row>
    <row r="22" spans="1:13" ht="30" customHeight="1">
      <c r="A22" s="5">
        <v>45932</v>
      </c>
      <c r="B22" s="6" t="s">
        <v>181</v>
      </c>
      <c r="C22" s="6" t="s">
        <v>224</v>
      </c>
      <c r="D22" s="16" t="s">
        <v>60</v>
      </c>
      <c r="E22" s="29" t="s">
        <v>103</v>
      </c>
      <c r="F22" s="19">
        <v>75.5</v>
      </c>
      <c r="G22" s="26" t="s">
        <v>226</v>
      </c>
      <c r="H22" s="6" t="s">
        <v>222</v>
      </c>
      <c r="I22" s="23">
        <f t="shared" si="0"/>
        <v>259.89999999999998</v>
      </c>
      <c r="K22" t="s">
        <v>213</v>
      </c>
      <c r="L22" t="s">
        <v>216</v>
      </c>
      <c r="M22">
        <v>88</v>
      </c>
    </row>
    <row r="23" spans="1:13" ht="30" customHeight="1">
      <c r="A23" s="5">
        <v>45932</v>
      </c>
      <c r="B23" s="6" t="s">
        <v>267</v>
      </c>
      <c r="C23" s="6" t="s">
        <v>225</v>
      </c>
      <c r="D23" s="16" t="s">
        <v>60</v>
      </c>
      <c r="E23" s="29" t="s">
        <v>65</v>
      </c>
      <c r="F23" s="8">
        <v>235</v>
      </c>
      <c r="G23" s="6"/>
      <c r="H23" s="6" t="s">
        <v>222</v>
      </c>
      <c r="I23" s="23">
        <f t="shared" si="0"/>
        <v>726</v>
      </c>
      <c r="K23" t="s">
        <v>35</v>
      </c>
      <c r="L23" t="s">
        <v>216</v>
      </c>
      <c r="M23">
        <v>89</v>
      </c>
    </row>
    <row r="24" spans="1:13" ht="30" customHeight="1">
      <c r="A24" s="5">
        <v>45936</v>
      </c>
      <c r="B24" s="6" t="s">
        <v>229</v>
      </c>
      <c r="C24" s="6" t="s">
        <v>101</v>
      </c>
      <c r="D24" s="16" t="s">
        <v>60</v>
      </c>
      <c r="E24" s="29" t="s">
        <v>65</v>
      </c>
      <c r="F24" s="19">
        <v>13</v>
      </c>
      <c r="G24" s="6" t="s">
        <v>35</v>
      </c>
      <c r="H24" s="6" t="s">
        <v>193</v>
      </c>
      <c r="I24" s="23">
        <f t="shared" si="0"/>
        <v>69.150000000000006</v>
      </c>
      <c r="K24" t="s">
        <v>35</v>
      </c>
      <c r="L24" t="s">
        <v>216</v>
      </c>
      <c r="M24">
        <v>90</v>
      </c>
    </row>
    <row r="25" spans="1:13" ht="30" customHeight="1">
      <c r="A25" s="5">
        <v>45938</v>
      </c>
      <c r="B25" s="6" t="s">
        <v>228</v>
      </c>
      <c r="C25" s="6" t="s">
        <v>227</v>
      </c>
      <c r="D25" s="16" t="s">
        <v>60</v>
      </c>
      <c r="E25" s="29" t="s">
        <v>65</v>
      </c>
      <c r="F25" s="8">
        <v>55</v>
      </c>
      <c r="G25" s="11" t="s">
        <v>35</v>
      </c>
      <c r="H25" s="6" t="s">
        <v>181</v>
      </c>
      <c r="I25" s="23">
        <f t="shared" si="0"/>
        <v>207.5</v>
      </c>
      <c r="K25" t="s">
        <v>35</v>
      </c>
      <c r="L25" t="s">
        <v>216</v>
      </c>
      <c r="M25">
        <v>91</v>
      </c>
    </row>
    <row r="26" spans="1:13" ht="30" customHeight="1">
      <c r="A26" s="5">
        <v>45938</v>
      </c>
      <c r="B26" s="6" t="s">
        <v>251</v>
      </c>
      <c r="C26" s="6" t="s">
        <v>101</v>
      </c>
      <c r="D26" s="16" t="s">
        <v>60</v>
      </c>
      <c r="E26" s="29" t="s">
        <v>103</v>
      </c>
      <c r="F26" s="8">
        <v>9</v>
      </c>
      <c r="G26" s="11" t="s">
        <v>252</v>
      </c>
      <c r="H26" s="6" t="s">
        <v>181</v>
      </c>
      <c r="I26" s="23">
        <f t="shared" si="0"/>
        <v>57.95</v>
      </c>
      <c r="K26" t="s">
        <v>214</v>
      </c>
      <c r="L26" t="s">
        <v>216</v>
      </c>
      <c r="M26">
        <v>92</v>
      </c>
    </row>
    <row r="27" spans="1:13" ht="30" customHeight="1">
      <c r="A27" s="18" t="s">
        <v>67</v>
      </c>
      <c r="B27" s="22">
        <v>2800</v>
      </c>
      <c r="C27" s="31" t="s">
        <v>21</v>
      </c>
      <c r="D27" s="31"/>
      <c r="E27" s="31"/>
      <c r="F27" s="31"/>
      <c r="G27" s="31"/>
      <c r="H27" s="31" t="s">
        <v>163</v>
      </c>
      <c r="I27" s="32">
        <f>SUM(I4:I26)</f>
        <v>6175.19</v>
      </c>
    </row>
    <row r="28" spans="1:13" ht="30" customHeight="1">
      <c r="A28" t="s">
        <v>68</v>
      </c>
      <c r="B28" s="22">
        <v>3400</v>
      </c>
    </row>
    <row r="29" spans="1:13" ht="30" customHeight="1">
      <c r="A29" t="s">
        <v>69</v>
      </c>
      <c r="B29" s="22">
        <v>7280</v>
      </c>
    </row>
    <row r="30" spans="1:13" ht="30" customHeight="1">
      <c r="A30" t="s">
        <v>70</v>
      </c>
      <c r="B30" s="22">
        <v>18360</v>
      </c>
    </row>
    <row r="31" spans="1:13" ht="30" customHeight="1"/>
    <row r="32" spans="1:13" ht="30" customHeight="1"/>
    <row r="33" ht="30" customHeight="1"/>
    <row r="34" ht="30" customHeight="1"/>
    <row r="35" ht="30" customHeight="1"/>
  </sheetData>
  <mergeCells count="1">
    <mergeCell ref="D3:E3"/>
  </mergeCells>
  <phoneticPr fontId="1"/>
  <dataValidations count="3">
    <dataValidation type="list" allowBlank="1" showInputMessage="1" showErrorMessage="1" sqref="E4:E19 E21:E26" xr:uid="{F80596C6-F9E7-454A-AA9F-838886C9ABC4}">
      <formula1>"[白], [黒], [赤],[青],[オレンジ],[白・黒],[青・黒],[青・白]"</formula1>
    </dataValidation>
    <dataValidation type="list" allowBlank="1" showInputMessage="1" showErrorMessage="1" sqref="D4:D26" xr:uid="{FB516D8A-EC05-49BA-9F39-B228D7B2BBA3}">
      <formula1>"PLA, ABS, PC, PET-CF"</formula1>
    </dataValidation>
    <dataValidation type="list" allowBlank="1" showInputMessage="1" showErrorMessage="1" sqref="E20" xr:uid="{0EAA1ABE-18F9-4572-9B9D-FD56FAB54C05}">
      <formula1>"[白], [黒], [赤],[青],[オレンジ],[白・黒],[青・黒],[青・白],[白・黒・青]"</formula1>
    </dataValidation>
  </dataValidations>
  <pageMargins left="0.7" right="0.7" top="0.75" bottom="0.75" header="0.3" footer="0.3"/>
  <pageSetup paperSize="9" scale="64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A3D23-23F6-4219-8CA5-A4FDFCE2FA81}">
  <dimension ref="A1:M35"/>
  <sheetViews>
    <sheetView view="pageBreakPreview" topLeftCell="A11" zoomScaleNormal="100" zoomScaleSheetLayoutView="100" workbookViewId="0">
      <selection activeCell="A15" sqref="A15"/>
    </sheetView>
  </sheetViews>
  <sheetFormatPr defaultRowHeight="18.75"/>
  <cols>
    <col min="1" max="1" width="11.375" customWidth="1"/>
    <col min="2" max="2" width="27.375" customWidth="1"/>
    <col min="3" max="3" width="10.625" customWidth="1"/>
    <col min="4" max="4" width="9.5" customWidth="1"/>
    <col min="5" max="5" width="9.25" customWidth="1"/>
    <col min="6" max="6" width="8" customWidth="1"/>
    <col min="7" max="7" width="16.25" bestFit="1" customWidth="1"/>
    <col min="8" max="9" width="12.125" customWidth="1"/>
  </cols>
  <sheetData>
    <row r="1" spans="1:13" ht="30">
      <c r="A1" s="1" t="s">
        <v>0</v>
      </c>
    </row>
    <row r="3" spans="1:13" ht="19.5" thickBot="1">
      <c r="A3" s="2" t="s">
        <v>1</v>
      </c>
      <c r="B3" s="2" t="s">
        <v>2</v>
      </c>
      <c r="C3" s="2" t="s">
        <v>3</v>
      </c>
      <c r="D3" s="48" t="s">
        <v>4</v>
      </c>
      <c r="E3" s="49"/>
      <c r="F3" s="2" t="s">
        <v>5</v>
      </c>
      <c r="G3" s="2" t="s">
        <v>6</v>
      </c>
      <c r="H3" s="2" t="s">
        <v>19</v>
      </c>
      <c r="I3" s="2" t="s">
        <v>20</v>
      </c>
    </row>
    <row r="4" spans="1:13" ht="30" customHeight="1">
      <c r="A4" s="3">
        <v>45943</v>
      </c>
      <c r="B4" s="4" t="s">
        <v>245</v>
      </c>
      <c r="C4" s="13" t="s">
        <v>239</v>
      </c>
      <c r="D4" s="15" t="s">
        <v>60</v>
      </c>
      <c r="E4" s="14" t="s">
        <v>246</v>
      </c>
      <c r="F4" s="19">
        <v>87</v>
      </c>
      <c r="G4" s="4"/>
      <c r="H4" s="4" t="s">
        <v>222</v>
      </c>
      <c r="I4" s="23">
        <f>IF(OR(D4="",C4="",F4=""), "", (F4/1000)*VLOOKUP(D4,$A$27:$B$30,2,FALSE) + IF(ISNUMBER(FIND("h",C4)), VALUE(LEFT(C4,FIND("h",C4)-1)) + VALUE(MID(C4,FIND("h",C4)+2,FIND("m",C4)-FIND("h",C4)-3))/60, VALUE(TRIM(LEFT(C4,FIND("m",C4)-1)))/60)*15)</f>
        <v>340.6</v>
      </c>
      <c r="K4" t="s">
        <v>213</v>
      </c>
      <c r="L4" t="s">
        <v>216</v>
      </c>
      <c r="M4">
        <v>93</v>
      </c>
    </row>
    <row r="5" spans="1:13" ht="30" customHeight="1">
      <c r="A5" s="5">
        <v>45945</v>
      </c>
      <c r="B5" s="6" t="s">
        <v>231</v>
      </c>
      <c r="C5" s="6" t="s">
        <v>232</v>
      </c>
      <c r="D5" s="16" t="s">
        <v>60</v>
      </c>
      <c r="E5" s="29" t="s">
        <v>65</v>
      </c>
      <c r="F5" s="20"/>
      <c r="G5" s="6" t="s">
        <v>262</v>
      </c>
      <c r="H5" s="6" t="s">
        <v>84</v>
      </c>
      <c r="I5" s="23" t="str">
        <f t="shared" ref="I5:I25" si="0">IF(OR(D5="",C5="",F5=""), "", (F5/1000)*VLOOKUP(D5,$A$27:$B$30,2,FALSE) + IF(ISNUMBER(FIND("h",C5)), VALUE(LEFT(C5,FIND("h",C5)-1)) + VALUE(MID(C5,FIND("h",C5)+2,FIND("m",C5)-FIND("h",C5)-3))/60, VALUE(TRIM(LEFT(C5,FIND("m",C5)-1)))/60)*15)</f>
        <v/>
      </c>
      <c r="K5" t="s">
        <v>214</v>
      </c>
      <c r="L5" t="s">
        <v>216</v>
      </c>
      <c r="M5">
        <v>94</v>
      </c>
    </row>
    <row r="6" spans="1:13" ht="30" customHeight="1">
      <c r="A6" s="5">
        <v>45950</v>
      </c>
      <c r="B6" s="25" t="s">
        <v>259</v>
      </c>
      <c r="C6" s="6" t="s">
        <v>236</v>
      </c>
      <c r="D6" s="16" t="s">
        <v>63</v>
      </c>
      <c r="E6" s="29"/>
      <c r="F6" s="19">
        <v>10</v>
      </c>
      <c r="G6" s="11" t="s">
        <v>263</v>
      </c>
      <c r="H6" s="6" t="s">
        <v>181</v>
      </c>
      <c r="I6" s="23">
        <f t="shared" si="0"/>
        <v>53.5</v>
      </c>
      <c r="K6" t="s">
        <v>211</v>
      </c>
      <c r="L6" t="s">
        <v>215</v>
      </c>
    </row>
    <row r="7" spans="1:13" ht="30" customHeight="1">
      <c r="A7" s="5">
        <v>45951</v>
      </c>
      <c r="B7" s="25" t="s">
        <v>259</v>
      </c>
      <c r="C7" s="6" t="s">
        <v>237</v>
      </c>
      <c r="D7" s="16" t="s">
        <v>63</v>
      </c>
      <c r="E7" s="29" t="s">
        <v>103</v>
      </c>
      <c r="F7" s="20">
        <v>13</v>
      </c>
      <c r="G7" s="11" t="s">
        <v>181</v>
      </c>
      <c r="H7" s="6" t="s">
        <v>181</v>
      </c>
      <c r="I7" s="23">
        <f t="shared" si="0"/>
        <v>63.199999999999996</v>
      </c>
      <c r="K7" t="s">
        <v>211</v>
      </c>
      <c r="L7" t="s">
        <v>215</v>
      </c>
    </row>
    <row r="8" spans="1:13" ht="30" customHeight="1">
      <c r="A8" s="5">
        <v>45951</v>
      </c>
      <c r="B8" s="6" t="s">
        <v>248</v>
      </c>
      <c r="C8" s="6" t="s">
        <v>24</v>
      </c>
      <c r="D8" s="16" t="s">
        <v>60</v>
      </c>
      <c r="E8" s="29" t="s">
        <v>62</v>
      </c>
      <c r="F8" s="20">
        <v>2</v>
      </c>
      <c r="G8" s="25" t="s">
        <v>181</v>
      </c>
      <c r="H8" s="6" t="s">
        <v>181</v>
      </c>
      <c r="I8" s="23">
        <f t="shared" si="0"/>
        <v>13.100000000000001</v>
      </c>
      <c r="K8" t="s">
        <v>211</v>
      </c>
      <c r="L8" t="s">
        <v>215</v>
      </c>
    </row>
    <row r="9" spans="1:13" ht="30" customHeight="1">
      <c r="A9" s="5">
        <v>45954</v>
      </c>
      <c r="B9" s="6" t="s">
        <v>258</v>
      </c>
      <c r="C9" s="6" t="s">
        <v>238</v>
      </c>
      <c r="D9" s="16" t="s">
        <v>60</v>
      </c>
      <c r="E9" s="29" t="s">
        <v>65</v>
      </c>
      <c r="F9" s="19">
        <v>97</v>
      </c>
      <c r="G9" s="25" t="s">
        <v>264</v>
      </c>
      <c r="H9" s="6" t="s">
        <v>82</v>
      </c>
      <c r="I9" s="23">
        <f t="shared" si="0"/>
        <v>299.60000000000002</v>
      </c>
      <c r="K9" t="s">
        <v>210</v>
      </c>
      <c r="L9" t="s">
        <v>218</v>
      </c>
    </row>
    <row r="10" spans="1:13" ht="30" customHeight="1">
      <c r="A10" s="5">
        <v>45954</v>
      </c>
      <c r="B10" s="25" t="s">
        <v>268</v>
      </c>
      <c r="C10" s="6" t="s">
        <v>237</v>
      </c>
      <c r="D10" s="16" t="s">
        <v>63</v>
      </c>
      <c r="E10" s="29" t="s">
        <v>64</v>
      </c>
      <c r="F10" s="20">
        <v>13</v>
      </c>
      <c r="G10" s="25"/>
      <c r="H10" s="6" t="s">
        <v>84</v>
      </c>
      <c r="I10" s="23">
        <f t="shared" si="0"/>
        <v>63.199999999999996</v>
      </c>
      <c r="K10" t="s">
        <v>211</v>
      </c>
      <c r="L10" t="s">
        <v>215</v>
      </c>
    </row>
    <row r="11" spans="1:13" ht="30" customHeight="1">
      <c r="A11" s="5">
        <v>45959</v>
      </c>
      <c r="B11" s="6" t="s">
        <v>269</v>
      </c>
      <c r="C11" s="6" t="s">
        <v>240</v>
      </c>
      <c r="D11" s="16" t="s">
        <v>60</v>
      </c>
      <c r="E11" s="29" t="s">
        <v>65</v>
      </c>
      <c r="F11" s="19"/>
      <c r="G11" s="11" t="s">
        <v>210</v>
      </c>
      <c r="H11" s="6" t="s">
        <v>84</v>
      </c>
      <c r="I11" s="23" t="str">
        <f t="shared" si="0"/>
        <v/>
      </c>
      <c r="K11" t="s">
        <v>213</v>
      </c>
      <c r="L11" t="s">
        <v>216</v>
      </c>
    </row>
    <row r="12" spans="1:13" ht="30" customHeight="1">
      <c r="A12" s="5">
        <v>45959</v>
      </c>
      <c r="B12" s="6" t="s">
        <v>258</v>
      </c>
      <c r="C12" s="6" t="s">
        <v>238</v>
      </c>
      <c r="D12" s="16" t="s">
        <v>60</v>
      </c>
      <c r="E12" s="29" t="s">
        <v>65</v>
      </c>
      <c r="F12" s="20">
        <v>97</v>
      </c>
      <c r="G12" s="11" t="s">
        <v>264</v>
      </c>
      <c r="H12" s="6" t="s">
        <v>82</v>
      </c>
      <c r="I12" s="23">
        <f t="shared" si="0"/>
        <v>299.60000000000002</v>
      </c>
      <c r="K12" t="s">
        <v>210</v>
      </c>
      <c r="L12" t="s">
        <v>218</v>
      </c>
    </row>
    <row r="13" spans="1:13" ht="30" customHeight="1">
      <c r="A13" s="5">
        <v>45960</v>
      </c>
      <c r="B13" s="6" t="s">
        <v>258</v>
      </c>
      <c r="C13" s="6" t="s">
        <v>238</v>
      </c>
      <c r="D13" s="16" t="s">
        <v>60</v>
      </c>
      <c r="E13" s="29" t="s">
        <v>65</v>
      </c>
      <c r="F13" s="19">
        <v>97</v>
      </c>
      <c r="G13" s="11" t="s">
        <v>181</v>
      </c>
      <c r="H13" s="6"/>
      <c r="I13" s="23">
        <f t="shared" si="0"/>
        <v>299.60000000000002</v>
      </c>
      <c r="K13" t="s">
        <v>210</v>
      </c>
      <c r="L13" t="s">
        <v>218</v>
      </c>
    </row>
    <row r="14" spans="1:13" ht="30" customHeight="1">
      <c r="A14" s="5">
        <v>45961</v>
      </c>
      <c r="B14" s="6" t="s">
        <v>261</v>
      </c>
      <c r="C14" s="10" t="s">
        <v>241</v>
      </c>
      <c r="D14" s="16" t="s">
        <v>266</v>
      </c>
      <c r="E14" s="29"/>
      <c r="F14" s="20">
        <v>11</v>
      </c>
      <c r="G14" s="11" t="s">
        <v>265</v>
      </c>
      <c r="H14" s="6"/>
      <c r="I14" s="23" t="e">
        <f t="shared" si="0"/>
        <v>#N/A</v>
      </c>
      <c r="K14" t="s">
        <v>214</v>
      </c>
      <c r="L14" t="s">
        <v>215</v>
      </c>
    </row>
    <row r="15" spans="1:13" ht="30" customHeight="1">
      <c r="A15" s="5">
        <v>45964</v>
      </c>
      <c r="B15" s="6" t="s">
        <v>181</v>
      </c>
      <c r="C15" s="6" t="s">
        <v>242</v>
      </c>
      <c r="D15" s="16" t="s">
        <v>86</v>
      </c>
      <c r="E15" s="29"/>
      <c r="F15" s="21">
        <v>11</v>
      </c>
      <c r="G15" s="11" t="s">
        <v>181</v>
      </c>
      <c r="H15" s="6"/>
      <c r="I15" s="23">
        <f t="shared" si="0"/>
        <v>222.70999999999998</v>
      </c>
      <c r="K15" t="s">
        <v>214</v>
      </c>
      <c r="L15" t="s">
        <v>215</v>
      </c>
    </row>
    <row r="16" spans="1:13" ht="30" customHeight="1">
      <c r="A16" s="5">
        <v>45965</v>
      </c>
      <c r="B16" s="6" t="s">
        <v>258</v>
      </c>
      <c r="C16" s="6" t="s">
        <v>238</v>
      </c>
      <c r="D16" s="16" t="s">
        <v>60</v>
      </c>
      <c r="E16" s="29" t="s">
        <v>65</v>
      </c>
      <c r="F16" s="19">
        <v>97</v>
      </c>
      <c r="G16" s="11" t="s">
        <v>264</v>
      </c>
      <c r="H16" s="6"/>
      <c r="I16" s="23">
        <f t="shared" si="0"/>
        <v>299.60000000000002</v>
      </c>
      <c r="K16" t="s">
        <v>210</v>
      </c>
      <c r="L16" t="s">
        <v>218</v>
      </c>
    </row>
    <row r="17" spans="1:12" ht="30" customHeight="1">
      <c r="A17" s="5">
        <v>45967</v>
      </c>
      <c r="B17" s="6" t="s">
        <v>270</v>
      </c>
      <c r="C17" s="6" t="s">
        <v>243</v>
      </c>
      <c r="D17" s="16" t="s">
        <v>60</v>
      </c>
      <c r="E17" s="29" t="s">
        <v>65</v>
      </c>
      <c r="F17" s="20">
        <v>36</v>
      </c>
      <c r="G17" s="11" t="s">
        <v>210</v>
      </c>
      <c r="H17" s="6"/>
      <c r="I17" s="23">
        <f t="shared" si="0"/>
        <v>116.3</v>
      </c>
      <c r="K17" t="s">
        <v>35</v>
      </c>
      <c r="L17" t="s">
        <v>216</v>
      </c>
    </row>
    <row r="18" spans="1:12" ht="30" customHeight="1">
      <c r="A18" s="5">
        <v>45972</v>
      </c>
      <c r="B18" s="6" t="s">
        <v>257</v>
      </c>
      <c r="C18" s="6" t="s">
        <v>244</v>
      </c>
      <c r="D18" s="16" t="s">
        <v>63</v>
      </c>
      <c r="E18" s="29" t="s">
        <v>103</v>
      </c>
      <c r="F18" s="19">
        <v>161</v>
      </c>
      <c r="G18" s="11" t="s">
        <v>81</v>
      </c>
      <c r="H18" s="6"/>
      <c r="I18" s="23">
        <f t="shared" si="0"/>
        <v>739.4</v>
      </c>
      <c r="K18" t="s">
        <v>214</v>
      </c>
      <c r="L18" t="s">
        <v>216</v>
      </c>
    </row>
    <row r="19" spans="1:12" ht="30" customHeight="1">
      <c r="A19" s="5">
        <v>45974</v>
      </c>
      <c r="B19" s="6" t="s">
        <v>256</v>
      </c>
      <c r="C19" s="6" t="s">
        <v>99</v>
      </c>
      <c r="D19" s="16" t="s">
        <v>63</v>
      </c>
      <c r="E19" s="29"/>
      <c r="F19" s="20">
        <v>20</v>
      </c>
      <c r="G19" s="11"/>
      <c r="H19" s="6"/>
      <c r="I19" s="23">
        <f t="shared" si="0"/>
        <v>123.5</v>
      </c>
      <c r="K19" t="s">
        <v>214</v>
      </c>
      <c r="L19" t="s">
        <v>215</v>
      </c>
    </row>
    <row r="20" spans="1:12" ht="30" customHeight="1">
      <c r="A20" s="5">
        <v>45974</v>
      </c>
      <c r="B20" s="40" t="s">
        <v>253</v>
      </c>
      <c r="C20" s="6" t="s">
        <v>238</v>
      </c>
      <c r="D20" s="16" t="s">
        <v>60</v>
      </c>
      <c r="E20" s="29" t="s">
        <v>65</v>
      </c>
      <c r="F20" s="19">
        <v>14</v>
      </c>
      <c r="G20" s="11" t="s">
        <v>210</v>
      </c>
      <c r="H20" s="6"/>
      <c r="I20" s="23">
        <f t="shared" si="0"/>
        <v>67.2</v>
      </c>
      <c r="K20" t="s">
        <v>210</v>
      </c>
      <c r="L20" t="s">
        <v>218</v>
      </c>
    </row>
    <row r="21" spans="1:12" ht="30" customHeight="1">
      <c r="A21" s="5">
        <v>45975</v>
      </c>
      <c r="B21" s="6" t="s">
        <v>254</v>
      </c>
      <c r="C21" s="6" t="s">
        <v>235</v>
      </c>
      <c r="D21" s="16" t="s">
        <v>60</v>
      </c>
      <c r="E21" s="29" t="s">
        <v>65</v>
      </c>
      <c r="F21" s="20">
        <v>96</v>
      </c>
      <c r="G21" s="6" t="s">
        <v>81</v>
      </c>
      <c r="H21" s="6" t="s">
        <v>84</v>
      </c>
      <c r="I21" s="23">
        <f t="shared" si="0"/>
        <v>293.55</v>
      </c>
    </row>
    <row r="22" spans="1:12" ht="30" customHeight="1">
      <c r="A22" s="5">
        <v>45975</v>
      </c>
      <c r="B22" s="6" t="s">
        <v>255</v>
      </c>
      <c r="C22" s="6" t="s">
        <v>234</v>
      </c>
      <c r="D22" s="16" t="s">
        <v>63</v>
      </c>
      <c r="E22" s="29" t="s">
        <v>103</v>
      </c>
      <c r="F22" s="39">
        <v>42</v>
      </c>
      <c r="G22" s="26" t="s">
        <v>260</v>
      </c>
      <c r="H22" s="6" t="s">
        <v>181</v>
      </c>
      <c r="I22" s="23">
        <f t="shared" si="0"/>
        <v>158.05000000000001</v>
      </c>
    </row>
    <row r="23" spans="1:12" ht="30" customHeight="1">
      <c r="A23" s="5">
        <v>45975</v>
      </c>
      <c r="B23" s="25" t="s">
        <v>249</v>
      </c>
      <c r="C23" s="6" t="s">
        <v>87</v>
      </c>
      <c r="D23" s="16" t="s">
        <v>63</v>
      </c>
      <c r="E23" s="29" t="s">
        <v>64</v>
      </c>
      <c r="F23" s="38">
        <v>7.0000000000000007E-2</v>
      </c>
      <c r="G23" s="6" t="s">
        <v>247</v>
      </c>
      <c r="H23" s="6" t="s">
        <v>82</v>
      </c>
      <c r="I23" s="23">
        <f t="shared" si="0"/>
        <v>4.7380000000000004</v>
      </c>
    </row>
    <row r="24" spans="1:12" ht="30" customHeight="1">
      <c r="A24" s="5">
        <v>45975</v>
      </c>
      <c r="B24" s="6" t="s">
        <v>250</v>
      </c>
      <c r="C24" s="6" t="s">
        <v>87</v>
      </c>
      <c r="D24" s="16" t="s">
        <v>60</v>
      </c>
      <c r="E24" s="29" t="s">
        <v>105</v>
      </c>
      <c r="F24" s="37">
        <v>0.11</v>
      </c>
      <c r="G24" s="6" t="s">
        <v>181</v>
      </c>
      <c r="H24" s="6" t="s">
        <v>181</v>
      </c>
      <c r="I24" s="23">
        <f t="shared" si="0"/>
        <v>4.8079999999999998</v>
      </c>
    </row>
    <row r="25" spans="1:12" ht="30" customHeight="1">
      <c r="A25" s="5">
        <v>45975</v>
      </c>
      <c r="B25" s="6" t="s">
        <v>181</v>
      </c>
      <c r="C25" s="6" t="s">
        <v>233</v>
      </c>
      <c r="D25" s="16" t="s">
        <v>60</v>
      </c>
      <c r="E25" s="29" t="s">
        <v>105</v>
      </c>
      <c r="F25" s="38">
        <v>0.13</v>
      </c>
      <c r="G25" s="11" t="s">
        <v>181</v>
      </c>
      <c r="H25" s="6" t="s">
        <v>181</v>
      </c>
      <c r="I25" s="23">
        <f t="shared" si="0"/>
        <v>1.8640000000000001</v>
      </c>
    </row>
    <row r="26" spans="1:12" ht="30" customHeight="1">
      <c r="A26" s="5">
        <v>45986</v>
      </c>
      <c r="B26" s="6" t="s">
        <v>271</v>
      </c>
      <c r="C26" s="6" t="s">
        <v>273</v>
      </c>
      <c r="D26" s="16" t="s">
        <v>60</v>
      </c>
      <c r="E26" s="29" t="s">
        <v>65</v>
      </c>
      <c r="F26" s="38">
        <v>43</v>
      </c>
      <c r="G26" s="11" t="s">
        <v>55</v>
      </c>
      <c r="H26" s="6" t="s">
        <v>84</v>
      </c>
      <c r="I26" s="23">
        <f>IF(OR(D26="",C26="",F26=""), "", (F26/1000)*VLOOKUP(D26,$A$27:$B$30,2,FALSE) + IF(ISNUMBER(FIND("h",C26)), VALUE(LEFT(C26,FIND("h",C26)-1)) + VALUE(MID(C26,FIND("h",C26)+2,FIND("m",C26)-FIND("h",C26)-3))/60, VALUE(TRIM(LEFT(C26,FIND("m",C26)-1)))/60)*15)</f>
        <v>158.89999999999998</v>
      </c>
    </row>
    <row r="27" spans="1:12" ht="30" customHeight="1">
      <c r="A27" s="18" t="s">
        <v>67</v>
      </c>
      <c r="B27" s="22">
        <v>2800</v>
      </c>
      <c r="C27" s="31" t="s">
        <v>21</v>
      </c>
      <c r="D27" s="31"/>
      <c r="E27" s="31"/>
      <c r="F27" s="31"/>
      <c r="G27" s="31"/>
      <c r="H27" s="31" t="s">
        <v>163</v>
      </c>
      <c r="I27" s="32" t="e">
        <f>SUM(I4:I26)</f>
        <v>#N/A</v>
      </c>
    </row>
    <row r="28" spans="1:12" ht="30" customHeight="1">
      <c r="A28" t="s">
        <v>68</v>
      </c>
      <c r="B28" s="22">
        <v>3400</v>
      </c>
    </row>
    <row r="29" spans="1:12" ht="30" customHeight="1">
      <c r="A29" t="s">
        <v>69</v>
      </c>
      <c r="B29" s="22">
        <v>7280</v>
      </c>
    </row>
    <row r="30" spans="1:12" ht="30" customHeight="1">
      <c r="A30" t="s">
        <v>70</v>
      </c>
      <c r="B30" s="22">
        <v>18360</v>
      </c>
    </row>
    <row r="31" spans="1:12" ht="30" customHeight="1"/>
    <row r="32" spans="1:12" ht="30" customHeight="1"/>
    <row r="33" ht="30" customHeight="1"/>
    <row r="34" ht="30" customHeight="1"/>
    <row r="35" ht="30" customHeight="1"/>
  </sheetData>
  <mergeCells count="1">
    <mergeCell ref="D3:E3"/>
  </mergeCells>
  <phoneticPr fontId="1"/>
  <dataValidations count="4">
    <dataValidation type="list" allowBlank="1" showInputMessage="1" showErrorMessage="1" sqref="E5:E26" xr:uid="{7B2043A7-29C4-426D-8D2D-0D650F74CDB4}">
      <formula1>"[白], [黒], [赤],[青],[オレンジ],[白・黒],[青・黒],[青・白]"</formula1>
    </dataValidation>
    <dataValidation type="list" allowBlank="1" showInputMessage="1" showErrorMessage="1" sqref="D4:D13 D15:D26" xr:uid="{799A4737-E536-4224-AFC8-81D9AB206929}">
      <formula1>"PLA, ABS, PC, PET-CF"</formula1>
    </dataValidation>
    <dataValidation type="list" allowBlank="1" showInputMessage="1" sqref="E4" xr:uid="{20F133A6-111A-4CE1-AE86-9FDA1C0F93AE}">
      <formula1>"[白], [黒], [赤],[青],[オレンジ],[白・黒],[青・黒],[青・白]"</formula1>
    </dataValidation>
    <dataValidation type="list" allowBlank="1" showInputMessage="1" sqref="D14" xr:uid="{621B659E-58DF-4AB8-A6DD-02887009CF59}">
      <formula1>"PLA, ABS, PC, PET-CF"</formula1>
    </dataValidation>
  </dataValidations>
  <pageMargins left="0.7" right="0.7" top="0.75" bottom="0.75" header="0.3" footer="0.3"/>
  <pageSetup paperSize="9" scale="6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0270E-FE1F-4D61-9B7D-355DEB187532}">
  <dimension ref="A1:I35"/>
  <sheetViews>
    <sheetView view="pageBreakPreview" zoomScaleNormal="100" zoomScaleSheetLayoutView="100" workbookViewId="0">
      <selection activeCell="F5" sqref="F5"/>
    </sheetView>
  </sheetViews>
  <sheetFormatPr defaultRowHeight="18.75"/>
  <cols>
    <col min="1" max="1" width="11.375" customWidth="1"/>
    <col min="2" max="2" width="27.375" customWidth="1"/>
    <col min="3" max="3" width="10.625" customWidth="1"/>
    <col min="4" max="4" width="9.5" customWidth="1"/>
    <col min="5" max="5" width="9.25" customWidth="1"/>
    <col min="6" max="6" width="8" customWidth="1"/>
    <col min="7" max="7" width="16.25" bestFit="1" customWidth="1"/>
    <col min="8" max="9" width="12.125" customWidth="1"/>
  </cols>
  <sheetData>
    <row r="1" spans="1:9" ht="30">
      <c r="A1" s="1" t="s">
        <v>0</v>
      </c>
    </row>
    <row r="3" spans="1:9" ht="19.5" thickBot="1">
      <c r="A3" s="2" t="s">
        <v>1</v>
      </c>
      <c r="B3" s="2" t="s">
        <v>2</v>
      </c>
      <c r="C3" s="2" t="s">
        <v>3</v>
      </c>
      <c r="D3" s="48" t="s">
        <v>4</v>
      </c>
      <c r="E3" s="49"/>
      <c r="F3" s="2" t="s">
        <v>5</v>
      </c>
      <c r="G3" s="2" t="s">
        <v>6</v>
      </c>
      <c r="H3" s="2" t="s">
        <v>19</v>
      </c>
      <c r="I3" s="2" t="s">
        <v>20</v>
      </c>
    </row>
    <row r="4" spans="1:9" ht="30" customHeight="1">
      <c r="A4" s="47" t="s">
        <v>272</v>
      </c>
      <c r="B4" s="4" t="s">
        <v>301</v>
      </c>
      <c r="C4" s="13" t="s">
        <v>238</v>
      </c>
      <c r="D4" s="15" t="s">
        <v>60</v>
      </c>
      <c r="E4" s="14" t="s">
        <v>65</v>
      </c>
      <c r="F4" s="19">
        <v>97</v>
      </c>
      <c r="G4" s="4" t="s">
        <v>300</v>
      </c>
      <c r="H4" s="4" t="s">
        <v>82</v>
      </c>
      <c r="I4" s="23">
        <f>IF(OR(D4="",C4="",F4=""), "", (F4/1000)*VLOOKUP(D4,$A$27:$B$30,2,FALSE) + IF(ISNUMBER(FIND("h",C4)), VALUE(LEFT(C4,FIND("h",C4)-1)) + VALUE(MID(C4,FIND("h",C4)+2,FIND("m",C4)-FIND("h",C4)-3))/60, VALUE(TRIM(LEFT(C4,FIND("m",C4)-1)))/60)*15)</f>
        <v>299.60000000000002</v>
      </c>
    </row>
    <row r="5" spans="1:9" ht="30" customHeight="1">
      <c r="A5" s="5">
        <v>45993</v>
      </c>
      <c r="B5" s="6" t="s">
        <v>323</v>
      </c>
      <c r="C5" s="6" t="s">
        <v>274</v>
      </c>
      <c r="D5" s="16" t="s">
        <v>86</v>
      </c>
      <c r="E5" s="29"/>
      <c r="F5" s="20">
        <v>36</v>
      </c>
      <c r="G5" s="6" t="s">
        <v>55</v>
      </c>
      <c r="H5" s="6" t="s">
        <v>84</v>
      </c>
      <c r="I5" s="23">
        <f t="shared" ref="I5:I26" si="0">IF(OR(D5="",C5="",F5=""), "", (F5/1000)*VLOOKUP(D5,$A$27:$B$30,2,FALSE) + IF(ISNUMBER(FIND("h",C5)), VALUE(LEFT(C5,FIND("h",C5)-1)) + VALUE(MID(C5,FIND("h",C5)+2,FIND("m",C5)-FIND("h",C5)-3))/60, VALUE(TRIM(LEFT(C5,FIND("m",C5)-1)))/60)*15)</f>
        <v>686.20999999999992</v>
      </c>
    </row>
    <row r="6" spans="1:9" ht="30" customHeight="1">
      <c r="A6" s="5">
        <v>45996</v>
      </c>
      <c r="B6" s="25" t="s">
        <v>324</v>
      </c>
      <c r="C6" s="6" t="s">
        <v>275</v>
      </c>
      <c r="D6" s="16" t="s">
        <v>63</v>
      </c>
      <c r="E6" s="29" t="s">
        <v>64</v>
      </c>
      <c r="F6" s="19">
        <v>1</v>
      </c>
      <c r="G6" s="46" t="s">
        <v>210</v>
      </c>
      <c r="H6" s="6" t="s">
        <v>84</v>
      </c>
      <c r="I6" s="23">
        <f t="shared" si="0"/>
        <v>8.65</v>
      </c>
    </row>
    <row r="7" spans="1:9" ht="30" customHeight="1">
      <c r="A7" s="5">
        <v>45996</v>
      </c>
      <c r="B7" s="25" t="s">
        <v>325</v>
      </c>
      <c r="C7" s="6" t="s">
        <v>276</v>
      </c>
      <c r="D7" s="16" t="s">
        <v>60</v>
      </c>
      <c r="E7" s="29" t="s">
        <v>62</v>
      </c>
      <c r="F7" s="20">
        <v>1</v>
      </c>
      <c r="G7" s="46" t="s">
        <v>181</v>
      </c>
      <c r="H7" s="6" t="s">
        <v>82</v>
      </c>
      <c r="I7" s="23">
        <f t="shared" si="0"/>
        <v>4.8000000000000007</v>
      </c>
    </row>
    <row r="8" spans="1:9" ht="30" customHeight="1">
      <c r="A8" s="5">
        <v>45996</v>
      </c>
      <c r="B8" s="11" t="s">
        <v>326</v>
      </c>
      <c r="C8" s="6" t="s">
        <v>277</v>
      </c>
      <c r="D8" s="16" t="s">
        <v>60</v>
      </c>
      <c r="E8" s="29" t="s">
        <v>62</v>
      </c>
      <c r="F8" s="20">
        <v>14</v>
      </c>
      <c r="G8" s="46" t="s">
        <v>181</v>
      </c>
      <c r="H8" s="6" t="s">
        <v>82</v>
      </c>
      <c r="I8" s="23">
        <f t="shared" si="0"/>
        <v>45.95</v>
      </c>
    </row>
    <row r="9" spans="1:9" ht="30" customHeight="1">
      <c r="A9" s="5">
        <v>45996</v>
      </c>
      <c r="B9" s="6" t="s">
        <v>327</v>
      </c>
      <c r="C9" s="6" t="s">
        <v>278</v>
      </c>
      <c r="D9" s="16" t="s">
        <v>60</v>
      </c>
      <c r="E9" s="29" t="s">
        <v>62</v>
      </c>
      <c r="F9" s="41">
        <v>1.4</v>
      </c>
      <c r="G9" s="46" t="s">
        <v>181</v>
      </c>
      <c r="H9" s="46" t="s">
        <v>181</v>
      </c>
      <c r="I9" s="23">
        <f t="shared" si="0"/>
        <v>6.92</v>
      </c>
    </row>
    <row r="10" spans="1:9" ht="30" customHeight="1">
      <c r="A10" s="5">
        <v>46364</v>
      </c>
      <c r="B10" s="46" t="s">
        <v>181</v>
      </c>
      <c r="C10" s="6" t="s">
        <v>275</v>
      </c>
      <c r="D10" s="16" t="s">
        <v>60</v>
      </c>
      <c r="E10" s="29" t="s">
        <v>62</v>
      </c>
      <c r="F10" s="20">
        <v>4</v>
      </c>
      <c r="G10" s="46" t="s">
        <v>181</v>
      </c>
      <c r="H10" s="46" t="s">
        <v>181</v>
      </c>
      <c r="I10" s="23">
        <f t="shared" si="0"/>
        <v>16.450000000000003</v>
      </c>
    </row>
    <row r="11" spans="1:9" ht="30" customHeight="1">
      <c r="A11" s="5">
        <v>45999</v>
      </c>
      <c r="B11" s="46" t="s">
        <v>181</v>
      </c>
      <c r="C11" s="6" t="s">
        <v>87</v>
      </c>
      <c r="D11" s="16" t="s">
        <v>60</v>
      </c>
      <c r="E11" s="29" t="s">
        <v>62</v>
      </c>
      <c r="F11" s="19">
        <v>4</v>
      </c>
      <c r="G11" s="46" t="s">
        <v>181</v>
      </c>
      <c r="H11" s="46" t="s">
        <v>181</v>
      </c>
      <c r="I11" s="23">
        <f t="shared" si="0"/>
        <v>15.700000000000001</v>
      </c>
    </row>
    <row r="12" spans="1:9" ht="30" customHeight="1">
      <c r="A12" s="5">
        <v>45999</v>
      </c>
      <c r="B12" s="6" t="s">
        <v>328</v>
      </c>
      <c r="C12" s="6" t="s">
        <v>279</v>
      </c>
      <c r="D12" s="16" t="s">
        <v>60</v>
      </c>
      <c r="E12" s="29" t="s">
        <v>62</v>
      </c>
      <c r="F12" s="20">
        <v>3</v>
      </c>
      <c r="G12" s="46" t="s">
        <v>181</v>
      </c>
      <c r="H12" s="46" t="s">
        <v>181</v>
      </c>
      <c r="I12" s="23">
        <f t="shared" si="0"/>
        <v>12.15</v>
      </c>
    </row>
    <row r="13" spans="1:9" ht="30" customHeight="1">
      <c r="A13" s="5">
        <v>46000</v>
      </c>
      <c r="B13" s="6" t="s">
        <v>248</v>
      </c>
      <c r="C13" s="6" t="s">
        <v>280</v>
      </c>
      <c r="D13" s="16" t="s">
        <v>60</v>
      </c>
      <c r="E13" s="29" t="s">
        <v>62</v>
      </c>
      <c r="F13" s="19">
        <v>1</v>
      </c>
      <c r="G13" s="46" t="s">
        <v>181</v>
      </c>
      <c r="H13" s="46" t="s">
        <v>181</v>
      </c>
      <c r="I13" s="23">
        <f t="shared" si="0"/>
        <v>4.5500000000000007</v>
      </c>
    </row>
    <row r="14" spans="1:9" ht="30" customHeight="1">
      <c r="A14" s="5">
        <v>46000</v>
      </c>
      <c r="B14" s="46" t="s">
        <v>181</v>
      </c>
      <c r="C14" s="10" t="s">
        <v>281</v>
      </c>
      <c r="D14" s="16" t="s">
        <v>60</v>
      </c>
      <c r="E14" s="29" t="s">
        <v>62</v>
      </c>
      <c r="F14" s="20">
        <v>1</v>
      </c>
      <c r="G14" s="46" t="s">
        <v>181</v>
      </c>
      <c r="H14" s="46" t="s">
        <v>181</v>
      </c>
      <c r="I14" s="23">
        <f t="shared" si="0"/>
        <v>5.0500000000000007</v>
      </c>
    </row>
    <row r="15" spans="1:9" ht="30" customHeight="1">
      <c r="A15" s="5">
        <v>46003</v>
      </c>
      <c r="B15" s="46" t="s">
        <v>181</v>
      </c>
      <c r="C15" s="6" t="s">
        <v>275</v>
      </c>
      <c r="D15" s="16" t="s">
        <v>63</v>
      </c>
      <c r="E15" s="29" t="s">
        <v>62</v>
      </c>
      <c r="F15" s="21">
        <v>1</v>
      </c>
      <c r="G15" s="46" t="s">
        <v>181</v>
      </c>
      <c r="H15" s="46" t="s">
        <v>181</v>
      </c>
      <c r="I15" s="23">
        <f t="shared" si="0"/>
        <v>8.65</v>
      </c>
    </row>
    <row r="16" spans="1:9" ht="30" customHeight="1">
      <c r="A16" s="5">
        <v>46006</v>
      </c>
      <c r="B16" s="6" t="s">
        <v>319</v>
      </c>
      <c r="C16" s="6" t="s">
        <v>29</v>
      </c>
      <c r="D16" s="16" t="s">
        <v>63</v>
      </c>
      <c r="E16" s="29" t="s">
        <v>61</v>
      </c>
      <c r="F16" s="19">
        <v>1</v>
      </c>
      <c r="G16" s="46" t="s">
        <v>210</v>
      </c>
      <c r="H16" s="6" t="s">
        <v>84</v>
      </c>
      <c r="I16" s="23">
        <f t="shared" si="0"/>
        <v>9.4</v>
      </c>
    </row>
    <row r="17" spans="1:9" ht="30" customHeight="1">
      <c r="A17" s="5">
        <v>46006</v>
      </c>
      <c r="B17" s="6" t="s">
        <v>317</v>
      </c>
      <c r="C17" s="6" t="s">
        <v>274</v>
      </c>
      <c r="D17" s="16" t="s">
        <v>60</v>
      </c>
      <c r="E17" s="29" t="s">
        <v>65</v>
      </c>
      <c r="F17" s="20">
        <v>40</v>
      </c>
      <c r="G17" s="46" t="s">
        <v>181</v>
      </c>
      <c r="H17" s="46" t="s">
        <v>181</v>
      </c>
      <c r="I17" s="23">
        <f t="shared" si="0"/>
        <v>137.25</v>
      </c>
    </row>
    <row r="18" spans="1:9" ht="30" customHeight="1">
      <c r="A18" s="5">
        <v>46007</v>
      </c>
      <c r="B18" s="6" t="s">
        <v>320</v>
      </c>
      <c r="C18" s="6" t="s">
        <v>282</v>
      </c>
      <c r="D18" s="16" t="s">
        <v>60</v>
      </c>
      <c r="E18" s="29" t="s">
        <v>65</v>
      </c>
      <c r="F18" s="19">
        <v>56</v>
      </c>
      <c r="G18" s="46" t="s">
        <v>181</v>
      </c>
      <c r="H18" s="46" t="s">
        <v>181</v>
      </c>
      <c r="I18" s="23">
        <f t="shared" si="0"/>
        <v>204.3</v>
      </c>
    </row>
    <row r="19" spans="1:9" ht="30" customHeight="1">
      <c r="A19" s="5">
        <v>46007</v>
      </c>
      <c r="B19" s="26" t="s">
        <v>318</v>
      </c>
      <c r="C19" s="6" t="s">
        <v>97</v>
      </c>
      <c r="D19" s="16" t="s">
        <v>63</v>
      </c>
      <c r="E19" s="29" t="s">
        <v>61</v>
      </c>
      <c r="F19" s="20">
        <v>1</v>
      </c>
      <c r="G19" s="46" t="s">
        <v>297</v>
      </c>
      <c r="H19" s="46" t="s">
        <v>82</v>
      </c>
      <c r="I19" s="23">
        <f t="shared" si="0"/>
        <v>8.15</v>
      </c>
    </row>
    <row r="20" spans="1:9" ht="30" customHeight="1">
      <c r="A20" s="5">
        <v>46007</v>
      </c>
      <c r="B20" s="40"/>
      <c r="C20" s="6" t="s">
        <v>283</v>
      </c>
      <c r="D20" s="16" t="s">
        <v>63</v>
      </c>
      <c r="E20" s="29" t="s">
        <v>65</v>
      </c>
      <c r="F20" s="19">
        <v>11</v>
      </c>
      <c r="G20" s="46" t="s">
        <v>210</v>
      </c>
      <c r="H20" s="46" t="s">
        <v>181</v>
      </c>
      <c r="I20" s="23">
        <f t="shared" si="0"/>
        <v>49.65</v>
      </c>
    </row>
    <row r="21" spans="1:9" ht="30" customHeight="1">
      <c r="A21" s="5">
        <v>46008</v>
      </c>
      <c r="B21" s="6" t="s">
        <v>317</v>
      </c>
      <c r="C21" s="6" t="s">
        <v>284</v>
      </c>
      <c r="D21" s="16" t="s">
        <v>60</v>
      </c>
      <c r="E21" s="29" t="s">
        <v>65</v>
      </c>
      <c r="F21" s="20">
        <v>42</v>
      </c>
      <c r="G21" s="6" t="s">
        <v>210</v>
      </c>
      <c r="H21" s="6" t="s">
        <v>84</v>
      </c>
      <c r="I21" s="23">
        <f t="shared" si="0"/>
        <v>145.85000000000002</v>
      </c>
    </row>
    <row r="22" spans="1:9" ht="30" customHeight="1">
      <c r="A22" s="5">
        <v>46009</v>
      </c>
      <c r="B22" s="6" t="s">
        <v>316</v>
      </c>
      <c r="C22" s="6" t="s">
        <v>285</v>
      </c>
      <c r="D22" s="16" t="s">
        <v>63</v>
      </c>
      <c r="E22" s="29" t="s">
        <v>65</v>
      </c>
      <c r="F22" s="39">
        <v>13</v>
      </c>
      <c r="G22" s="45" t="s">
        <v>299</v>
      </c>
      <c r="H22" s="6" t="s">
        <v>84</v>
      </c>
      <c r="I22" s="23">
        <f t="shared" si="0"/>
        <v>65.949999999999989</v>
      </c>
    </row>
    <row r="23" spans="1:9" ht="30" customHeight="1">
      <c r="A23" s="5">
        <v>46010</v>
      </c>
      <c r="B23" s="25" t="s">
        <v>315</v>
      </c>
      <c r="C23" s="6" t="s">
        <v>286</v>
      </c>
      <c r="D23" s="16" t="s">
        <v>60</v>
      </c>
      <c r="E23" s="29" t="s">
        <v>65</v>
      </c>
      <c r="F23" s="43">
        <v>11</v>
      </c>
      <c r="G23" s="6" t="s">
        <v>210</v>
      </c>
      <c r="H23" s="46" t="s">
        <v>181</v>
      </c>
      <c r="I23" s="23">
        <f t="shared" si="0"/>
        <v>44.3</v>
      </c>
    </row>
    <row r="24" spans="1:9" ht="30" customHeight="1">
      <c r="A24" s="5">
        <v>46013</v>
      </c>
      <c r="B24" s="11" t="s">
        <v>313</v>
      </c>
      <c r="C24" s="6" t="s">
        <v>93</v>
      </c>
      <c r="D24" s="16" t="s">
        <v>63</v>
      </c>
      <c r="E24" s="29" t="s">
        <v>65</v>
      </c>
      <c r="F24" s="44">
        <v>3</v>
      </c>
      <c r="G24" s="6" t="s">
        <v>297</v>
      </c>
      <c r="H24" s="6" t="s">
        <v>82</v>
      </c>
      <c r="I24" s="23">
        <f t="shared" si="0"/>
        <v>16.450000000000003</v>
      </c>
    </row>
    <row r="25" spans="1:9" ht="30" customHeight="1">
      <c r="A25" s="5">
        <v>46014</v>
      </c>
      <c r="B25" s="6"/>
      <c r="C25" s="6" t="s">
        <v>287</v>
      </c>
      <c r="D25" s="16" t="s">
        <v>60</v>
      </c>
      <c r="E25" s="29" t="s">
        <v>65</v>
      </c>
      <c r="F25" s="43">
        <v>168</v>
      </c>
      <c r="G25" s="46" t="s">
        <v>210</v>
      </c>
      <c r="H25" s="6" t="s">
        <v>84</v>
      </c>
      <c r="I25" s="23">
        <f t="shared" si="0"/>
        <v>519.65000000000009</v>
      </c>
    </row>
    <row r="26" spans="1:9" ht="30" customHeight="1">
      <c r="A26" s="5">
        <v>46015</v>
      </c>
      <c r="B26" s="6" t="s">
        <v>314</v>
      </c>
      <c r="C26" s="6" t="s">
        <v>288</v>
      </c>
      <c r="D26" s="16" t="s">
        <v>63</v>
      </c>
      <c r="E26" s="29" t="s">
        <v>65</v>
      </c>
      <c r="F26" s="43">
        <v>5</v>
      </c>
      <c r="G26" s="46" t="s">
        <v>210</v>
      </c>
      <c r="H26" s="6" t="s">
        <v>84</v>
      </c>
      <c r="I26" s="23">
        <f t="shared" si="0"/>
        <v>46.75</v>
      </c>
    </row>
    <row r="27" spans="1:9" ht="30" customHeight="1">
      <c r="A27" s="18" t="s">
        <v>67</v>
      </c>
      <c r="B27" s="22">
        <v>2800</v>
      </c>
      <c r="C27" s="31" t="s">
        <v>21</v>
      </c>
      <c r="D27" s="31"/>
      <c r="E27" s="31"/>
      <c r="F27" s="31"/>
      <c r="G27" s="31"/>
      <c r="H27" s="31" t="s">
        <v>163</v>
      </c>
      <c r="I27" s="32">
        <f>SUM(I4:I26)</f>
        <v>2362.38</v>
      </c>
    </row>
    <row r="28" spans="1:9" ht="30" customHeight="1">
      <c r="A28" t="s">
        <v>68</v>
      </c>
      <c r="B28" s="22">
        <v>3400</v>
      </c>
    </row>
    <row r="29" spans="1:9" ht="30" customHeight="1">
      <c r="A29" t="s">
        <v>69</v>
      </c>
      <c r="B29" s="22">
        <v>7280</v>
      </c>
    </row>
    <row r="30" spans="1:9" ht="30" customHeight="1">
      <c r="A30" t="s">
        <v>70</v>
      </c>
      <c r="B30" s="22">
        <v>18360</v>
      </c>
    </row>
    <row r="31" spans="1:9" ht="30" customHeight="1"/>
    <row r="32" spans="1:9" ht="30" customHeight="1"/>
    <row r="33" ht="30" customHeight="1"/>
    <row r="34" ht="30" customHeight="1"/>
    <row r="35" ht="30" customHeight="1"/>
  </sheetData>
  <mergeCells count="1">
    <mergeCell ref="D3:E3"/>
  </mergeCells>
  <phoneticPr fontId="1"/>
  <dataValidations count="3">
    <dataValidation type="list" allowBlank="1" showInputMessage="1" sqref="D14" xr:uid="{ABA86B90-7E75-4285-993A-F3D8968DA92F}">
      <formula1>"PLA, ABS, PC, PET-CF"</formula1>
    </dataValidation>
    <dataValidation type="list" allowBlank="1" showInputMessage="1" sqref="E4:E26" xr:uid="{86AD0074-6EF9-4C02-A84E-EF33DBAAE668}">
      <formula1>"[白], [黒], [赤],[青],[オレンジ],[白・黒],[青・黒],[青・白]"</formula1>
    </dataValidation>
    <dataValidation type="list" allowBlank="1" showInputMessage="1" showErrorMessage="1" sqref="D4:D13 D15:D26" xr:uid="{4F110EF0-581C-4CF5-8DFE-7149CBEA9C05}">
      <formula1>"PLA, ABS, PC, PET-CF"</formula1>
    </dataValidation>
  </dataValidations>
  <pageMargins left="0.7" right="0.7" top="0.75" bottom="0.75" header="0.3" footer="0.3"/>
  <pageSetup paperSize="9" scale="6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E4035-2F7F-45A6-A697-2B0E80C74173}">
  <dimension ref="A1:I35"/>
  <sheetViews>
    <sheetView view="pageBreakPreview" zoomScaleNormal="100" zoomScaleSheetLayoutView="100" workbookViewId="0">
      <selection activeCell="H18" sqref="H18"/>
    </sheetView>
  </sheetViews>
  <sheetFormatPr defaultRowHeight="18.75"/>
  <cols>
    <col min="1" max="1" width="11.375" customWidth="1"/>
    <col min="2" max="2" width="27.375" customWidth="1"/>
    <col min="3" max="3" width="10.625" customWidth="1"/>
    <col min="4" max="4" width="9.5" customWidth="1"/>
    <col min="5" max="5" width="9.25" customWidth="1"/>
    <col min="6" max="6" width="8" customWidth="1"/>
    <col min="7" max="7" width="16.25" bestFit="1" customWidth="1"/>
    <col min="8" max="9" width="12.125" customWidth="1"/>
  </cols>
  <sheetData>
    <row r="1" spans="1:9" ht="30">
      <c r="A1" s="1" t="s">
        <v>0</v>
      </c>
    </row>
    <row r="3" spans="1:9" ht="19.5" thickBot="1">
      <c r="A3" s="2" t="s">
        <v>1</v>
      </c>
      <c r="B3" s="2" t="s">
        <v>2</v>
      </c>
      <c r="C3" s="2" t="s">
        <v>3</v>
      </c>
      <c r="D3" s="48" t="s">
        <v>4</v>
      </c>
      <c r="E3" s="49"/>
      <c r="F3" s="2" t="s">
        <v>5</v>
      </c>
      <c r="G3" s="2" t="s">
        <v>6</v>
      </c>
      <c r="H3" s="2" t="s">
        <v>19</v>
      </c>
      <c r="I3" s="2" t="s">
        <v>20</v>
      </c>
    </row>
    <row r="4" spans="1:9" ht="30" customHeight="1">
      <c r="A4" s="42">
        <v>46015</v>
      </c>
      <c r="B4" s="4" t="s">
        <v>312</v>
      </c>
      <c r="C4" s="13" t="s">
        <v>289</v>
      </c>
      <c r="D4" s="15" t="s">
        <v>63</v>
      </c>
      <c r="E4" s="14" t="s">
        <v>62</v>
      </c>
      <c r="F4" s="19">
        <v>3</v>
      </c>
      <c r="G4" s="4" t="s">
        <v>297</v>
      </c>
      <c r="H4" s="4" t="s">
        <v>82</v>
      </c>
      <c r="I4" s="23">
        <f>IF(OR(D4="",C4="",F4=""), "", (F4/1000)*VLOOKUP(D4,$A$27:$B$30,2,FALSE) + IF(ISNUMBER(FIND("h",C4)), VALUE(LEFT(C4,FIND("h",C4)-1)) + VALUE(MID(C4,FIND("h",C4)+2,FIND("m",C4)-FIND("h",C4)-3))/60, VALUE(TRIM(LEFT(C4,FIND("m",C4)-1)))/60)*15)</f>
        <v>19.450000000000003</v>
      </c>
    </row>
    <row r="5" spans="1:9" ht="30" customHeight="1">
      <c r="A5" s="5">
        <v>46015</v>
      </c>
      <c r="B5" s="11" t="s">
        <v>304</v>
      </c>
      <c r="C5" s="6" t="s">
        <v>93</v>
      </c>
      <c r="D5" s="16" t="s">
        <v>63</v>
      </c>
      <c r="E5" s="29" t="s">
        <v>62</v>
      </c>
      <c r="F5" s="20">
        <v>1</v>
      </c>
      <c r="G5" s="45" t="s">
        <v>181</v>
      </c>
      <c r="H5" s="6" t="s">
        <v>181</v>
      </c>
      <c r="I5" s="23">
        <f t="shared" ref="I5:I26" si="0">IF(OR(D5="",C5="",F5=""), "", (F5/1000)*VLOOKUP(D5,$A$27:$B$30,2,FALSE) + IF(ISNUMBER(FIND("h",C5)), VALUE(LEFT(C5,FIND("h",C5)-1)) + VALUE(MID(C5,FIND("h",C5)+2,FIND("m",C5)-FIND("h",C5)-3))/60, VALUE(TRIM(LEFT(C5,FIND("m",C5)-1)))/60)*15)</f>
        <v>9.65</v>
      </c>
    </row>
    <row r="6" spans="1:9" ht="30" customHeight="1">
      <c r="A6" s="5">
        <v>46015</v>
      </c>
      <c r="B6" s="11" t="s">
        <v>304</v>
      </c>
      <c r="C6" s="6" t="s">
        <v>93</v>
      </c>
      <c r="D6" s="16" t="s">
        <v>63</v>
      </c>
      <c r="E6" s="29" t="s">
        <v>62</v>
      </c>
      <c r="F6" s="19">
        <v>1</v>
      </c>
      <c r="G6" s="45" t="s">
        <v>181</v>
      </c>
      <c r="H6" s="6" t="s">
        <v>181</v>
      </c>
      <c r="I6" s="23">
        <f t="shared" si="0"/>
        <v>9.65</v>
      </c>
    </row>
    <row r="7" spans="1:9" ht="30" customHeight="1">
      <c r="A7" s="5">
        <v>46015</v>
      </c>
      <c r="B7" s="11" t="s">
        <v>305</v>
      </c>
      <c r="C7" s="6" t="s">
        <v>290</v>
      </c>
      <c r="D7" s="16" t="s">
        <v>63</v>
      </c>
      <c r="E7" s="29" t="s">
        <v>62</v>
      </c>
      <c r="F7" s="20">
        <v>3</v>
      </c>
      <c r="G7" s="45" t="s">
        <v>181</v>
      </c>
      <c r="H7" s="6" t="s">
        <v>181</v>
      </c>
      <c r="I7" s="23">
        <f t="shared" si="0"/>
        <v>19.700000000000003</v>
      </c>
    </row>
    <row r="8" spans="1:9" ht="30" customHeight="1">
      <c r="A8" s="5">
        <v>46016</v>
      </c>
      <c r="B8" s="6" t="s">
        <v>306</v>
      </c>
      <c r="C8" s="6" t="s">
        <v>291</v>
      </c>
      <c r="D8" s="16" t="s">
        <v>60</v>
      </c>
      <c r="E8" s="29" t="s">
        <v>65</v>
      </c>
      <c r="F8" s="20">
        <v>3</v>
      </c>
      <c r="G8" s="46" t="s">
        <v>210</v>
      </c>
      <c r="H8" s="6" t="s">
        <v>181</v>
      </c>
      <c r="I8" s="23">
        <f t="shared" si="0"/>
        <v>12.4</v>
      </c>
    </row>
    <row r="9" spans="1:9" ht="30" customHeight="1">
      <c r="A9" s="5">
        <v>46016</v>
      </c>
      <c r="B9" s="6" t="s">
        <v>307</v>
      </c>
      <c r="C9" s="6" t="s">
        <v>237</v>
      </c>
      <c r="D9" s="16" t="s">
        <v>63</v>
      </c>
      <c r="E9" s="29" t="s">
        <v>64</v>
      </c>
      <c r="F9" s="19">
        <v>13</v>
      </c>
      <c r="G9" s="46" t="s">
        <v>211</v>
      </c>
      <c r="H9" s="6" t="s">
        <v>84</v>
      </c>
      <c r="I9" s="23">
        <f t="shared" si="0"/>
        <v>63.199999999999996</v>
      </c>
    </row>
    <row r="10" spans="1:9" ht="30" customHeight="1">
      <c r="A10" s="5">
        <v>46029</v>
      </c>
      <c r="B10" s="11" t="s">
        <v>308</v>
      </c>
      <c r="C10" s="6" t="s">
        <v>137</v>
      </c>
      <c r="D10" s="16" t="s">
        <v>63</v>
      </c>
      <c r="E10" s="29" t="s">
        <v>65</v>
      </c>
      <c r="F10" s="20">
        <v>7</v>
      </c>
      <c r="G10" s="46" t="s">
        <v>297</v>
      </c>
      <c r="H10" s="6" t="s">
        <v>298</v>
      </c>
      <c r="I10" s="23">
        <f t="shared" si="0"/>
        <v>32.799999999999997</v>
      </c>
    </row>
    <row r="11" spans="1:9" ht="30" customHeight="1">
      <c r="A11" s="5">
        <v>46034</v>
      </c>
      <c r="B11" s="6" t="s">
        <v>255</v>
      </c>
      <c r="C11" s="6" t="s">
        <v>89</v>
      </c>
      <c r="D11" s="16" t="s">
        <v>63</v>
      </c>
      <c r="E11" s="29" t="s">
        <v>65</v>
      </c>
      <c r="F11" s="19">
        <v>6</v>
      </c>
      <c r="G11" s="46" t="s">
        <v>210</v>
      </c>
      <c r="H11" s="6" t="s">
        <v>84</v>
      </c>
      <c r="I11" s="23">
        <f t="shared" si="0"/>
        <v>48.150000000000006</v>
      </c>
    </row>
    <row r="12" spans="1:9" ht="30" customHeight="1">
      <c r="A12" s="5">
        <v>46034</v>
      </c>
      <c r="B12" s="11" t="s">
        <v>309</v>
      </c>
      <c r="C12" s="6" t="s">
        <v>85</v>
      </c>
      <c r="D12" s="16" t="s">
        <v>63</v>
      </c>
      <c r="E12" s="29" t="s">
        <v>62</v>
      </c>
      <c r="F12" s="20">
        <v>3</v>
      </c>
      <c r="G12" s="46" t="s">
        <v>297</v>
      </c>
      <c r="H12" s="6" t="s">
        <v>82</v>
      </c>
      <c r="I12" s="23">
        <f t="shared" si="0"/>
        <v>18.700000000000003</v>
      </c>
    </row>
    <row r="13" spans="1:9" ht="30" customHeight="1">
      <c r="A13" s="5">
        <v>46034</v>
      </c>
      <c r="B13" s="11" t="s">
        <v>310</v>
      </c>
      <c r="C13" s="6" t="s">
        <v>292</v>
      </c>
      <c r="D13" s="16" t="s">
        <v>63</v>
      </c>
      <c r="E13" s="29" t="s">
        <v>62</v>
      </c>
      <c r="F13" s="19">
        <v>2</v>
      </c>
      <c r="G13" s="46" t="s">
        <v>297</v>
      </c>
      <c r="H13" s="6" t="s">
        <v>82</v>
      </c>
      <c r="I13" s="23">
        <f t="shared" si="0"/>
        <v>13.8</v>
      </c>
    </row>
    <row r="14" spans="1:9" ht="30" customHeight="1">
      <c r="A14" s="5">
        <v>46035</v>
      </c>
      <c r="B14" s="6" t="s">
        <v>302</v>
      </c>
      <c r="C14" s="10" t="s">
        <v>293</v>
      </c>
      <c r="D14" s="16" t="s">
        <v>60</v>
      </c>
      <c r="E14" s="29" t="s">
        <v>105</v>
      </c>
      <c r="F14" s="20">
        <v>6</v>
      </c>
      <c r="G14" s="46"/>
      <c r="H14" s="6" t="s">
        <v>84</v>
      </c>
      <c r="I14" s="23">
        <f t="shared" si="0"/>
        <v>24.55</v>
      </c>
    </row>
    <row r="15" spans="1:9" ht="30" customHeight="1">
      <c r="A15" s="5">
        <v>46036</v>
      </c>
      <c r="B15" s="6" t="s">
        <v>311</v>
      </c>
      <c r="C15" s="6" t="s">
        <v>294</v>
      </c>
      <c r="D15" s="16" t="s">
        <v>60</v>
      </c>
      <c r="E15" s="29" t="s">
        <v>65</v>
      </c>
      <c r="F15" s="21">
        <v>22</v>
      </c>
      <c r="G15" s="46" t="s">
        <v>210</v>
      </c>
      <c r="H15" s="6" t="s">
        <v>84</v>
      </c>
      <c r="I15" s="23">
        <f t="shared" si="0"/>
        <v>81.849999999999994</v>
      </c>
    </row>
    <row r="16" spans="1:9" ht="30" customHeight="1">
      <c r="A16" s="5">
        <v>46035</v>
      </c>
      <c r="B16" s="11" t="s">
        <v>303</v>
      </c>
      <c r="C16" s="6" t="s">
        <v>295</v>
      </c>
      <c r="D16" s="16" t="s">
        <v>63</v>
      </c>
      <c r="E16" s="29" t="s">
        <v>296</v>
      </c>
      <c r="F16" s="19">
        <v>3</v>
      </c>
      <c r="G16" s="46" t="s">
        <v>297</v>
      </c>
      <c r="H16" s="6" t="s">
        <v>82</v>
      </c>
      <c r="I16" s="23">
        <f t="shared" si="0"/>
        <v>18.450000000000003</v>
      </c>
    </row>
    <row r="17" spans="1:9" ht="30" customHeight="1">
      <c r="A17" s="5">
        <v>46044</v>
      </c>
      <c r="B17" s="6" t="s">
        <v>321</v>
      </c>
      <c r="C17" s="6" t="s">
        <v>322</v>
      </c>
      <c r="D17" s="16" t="s">
        <v>63</v>
      </c>
      <c r="E17" s="29" t="s">
        <v>64</v>
      </c>
      <c r="F17" s="20">
        <v>24</v>
      </c>
      <c r="G17" s="25" t="s">
        <v>211</v>
      </c>
      <c r="H17" s="6" t="s">
        <v>84</v>
      </c>
      <c r="I17" s="23">
        <f t="shared" si="0"/>
        <v>111.60000000000001</v>
      </c>
    </row>
    <row r="18" spans="1:9" ht="30" customHeight="1">
      <c r="A18" s="5">
        <v>46045</v>
      </c>
      <c r="B18" s="6" t="s">
        <v>341</v>
      </c>
      <c r="C18" s="6" t="s">
        <v>342</v>
      </c>
      <c r="D18" s="16" t="s">
        <v>63</v>
      </c>
      <c r="E18" s="29" t="s">
        <v>65</v>
      </c>
      <c r="F18" s="41">
        <v>3.8</v>
      </c>
      <c r="G18" s="25" t="s">
        <v>343</v>
      </c>
      <c r="H18" s="6" t="s">
        <v>344</v>
      </c>
      <c r="I18" s="23">
        <f t="shared" si="0"/>
        <v>25.92</v>
      </c>
    </row>
    <row r="19" spans="1:9" ht="30" customHeight="1">
      <c r="A19" s="5">
        <v>46049</v>
      </c>
      <c r="B19" s="6" t="s">
        <v>340</v>
      </c>
      <c r="C19" s="6" t="s">
        <v>241</v>
      </c>
      <c r="D19" s="16" t="s">
        <v>86</v>
      </c>
      <c r="E19" s="29"/>
      <c r="F19" s="20">
        <v>11</v>
      </c>
      <c r="G19" s="6" t="s">
        <v>337</v>
      </c>
      <c r="H19" s="6" t="s">
        <v>84</v>
      </c>
      <c r="I19" s="23">
        <f t="shared" si="0"/>
        <v>222.70999999999998</v>
      </c>
    </row>
    <row r="20" spans="1:9" ht="30" customHeight="1">
      <c r="A20" s="5">
        <v>46049</v>
      </c>
      <c r="B20" s="6" t="s">
        <v>338</v>
      </c>
      <c r="C20" s="6" t="s">
        <v>339</v>
      </c>
      <c r="D20" s="16" t="s">
        <v>63</v>
      </c>
      <c r="E20" s="29" t="s">
        <v>65</v>
      </c>
      <c r="F20" s="19">
        <v>11</v>
      </c>
      <c r="G20" s="6" t="s">
        <v>335</v>
      </c>
      <c r="H20" s="6" t="s">
        <v>129</v>
      </c>
      <c r="I20" s="23">
        <f t="shared" si="0"/>
        <v>49.9</v>
      </c>
    </row>
    <row r="21" spans="1:9" ht="30" customHeight="1">
      <c r="A21" s="5">
        <v>46049</v>
      </c>
      <c r="B21" s="6" t="s">
        <v>321</v>
      </c>
      <c r="C21" s="6" t="s">
        <v>336</v>
      </c>
      <c r="D21" s="16" t="s">
        <v>63</v>
      </c>
      <c r="E21" s="29" t="s">
        <v>64</v>
      </c>
      <c r="F21" s="20">
        <v>44</v>
      </c>
      <c r="G21" s="6" t="s">
        <v>337</v>
      </c>
      <c r="H21" s="6" t="s">
        <v>84</v>
      </c>
      <c r="I21" s="23">
        <f t="shared" si="0"/>
        <v>273.09999999999997</v>
      </c>
    </row>
    <row r="22" spans="1:9" ht="30" customHeight="1">
      <c r="A22" s="5">
        <v>46050</v>
      </c>
      <c r="B22" s="6" t="s">
        <v>334</v>
      </c>
      <c r="C22" s="6" t="s">
        <v>85</v>
      </c>
      <c r="D22" s="16" t="s">
        <v>63</v>
      </c>
      <c r="E22" s="29" t="s">
        <v>65</v>
      </c>
      <c r="F22" s="39">
        <v>9</v>
      </c>
      <c r="G22" s="6" t="s">
        <v>335</v>
      </c>
      <c r="H22" s="6" t="s">
        <v>129</v>
      </c>
      <c r="I22" s="23">
        <f t="shared" si="0"/>
        <v>39.099999999999994</v>
      </c>
    </row>
    <row r="23" spans="1:9" ht="30" customHeight="1">
      <c r="A23" s="5">
        <v>46050</v>
      </c>
      <c r="B23" s="6" t="s">
        <v>334</v>
      </c>
      <c r="C23" s="6" t="s">
        <v>85</v>
      </c>
      <c r="D23" s="16" t="s">
        <v>63</v>
      </c>
      <c r="E23" s="29" t="s">
        <v>65</v>
      </c>
      <c r="F23" s="43">
        <v>8</v>
      </c>
      <c r="G23" s="6" t="s">
        <v>335</v>
      </c>
      <c r="H23" s="6" t="s">
        <v>129</v>
      </c>
      <c r="I23" s="23">
        <f t="shared" si="0"/>
        <v>35.700000000000003</v>
      </c>
    </row>
    <row r="24" spans="1:9" ht="30" customHeight="1">
      <c r="A24" s="5">
        <v>46050</v>
      </c>
      <c r="B24" s="12" t="s">
        <v>333</v>
      </c>
      <c r="C24" s="6" t="s">
        <v>22</v>
      </c>
      <c r="D24" s="16" t="s">
        <v>60</v>
      </c>
      <c r="E24" s="29" t="s">
        <v>62</v>
      </c>
      <c r="F24" s="44">
        <v>1</v>
      </c>
      <c r="G24" s="6" t="s">
        <v>247</v>
      </c>
      <c r="H24" s="6" t="s">
        <v>82</v>
      </c>
      <c r="I24" s="23">
        <f t="shared" si="0"/>
        <v>8.5500000000000007</v>
      </c>
    </row>
    <row r="25" spans="1:9" ht="30" customHeight="1">
      <c r="A25" s="5">
        <v>46051</v>
      </c>
      <c r="B25" s="6" t="s">
        <v>331</v>
      </c>
      <c r="C25" s="6" t="s">
        <v>332</v>
      </c>
      <c r="D25" s="16" t="s">
        <v>60</v>
      </c>
      <c r="E25" s="29" t="s">
        <v>65</v>
      </c>
      <c r="F25" s="43">
        <v>113</v>
      </c>
      <c r="G25" s="25" t="s">
        <v>210</v>
      </c>
      <c r="H25" s="6" t="s">
        <v>84</v>
      </c>
      <c r="I25" s="23">
        <f t="shared" si="0"/>
        <v>349.40000000000003</v>
      </c>
    </row>
    <row r="26" spans="1:9" ht="30" customHeight="1">
      <c r="A26" s="5">
        <v>46055</v>
      </c>
      <c r="B26" s="6" t="s">
        <v>329</v>
      </c>
      <c r="C26" s="6" t="s">
        <v>238</v>
      </c>
      <c r="D26" s="16" t="s">
        <v>60</v>
      </c>
      <c r="E26" s="29" t="s">
        <v>62</v>
      </c>
      <c r="F26" s="43">
        <v>80</v>
      </c>
      <c r="G26" s="25" t="s">
        <v>330</v>
      </c>
      <c r="H26" s="6" t="s">
        <v>82</v>
      </c>
      <c r="I26" s="23">
        <f t="shared" si="0"/>
        <v>252</v>
      </c>
    </row>
    <row r="27" spans="1:9" ht="30" customHeight="1">
      <c r="A27" s="18" t="s">
        <v>67</v>
      </c>
      <c r="B27" s="22">
        <v>2800</v>
      </c>
      <c r="C27" s="31" t="s">
        <v>21</v>
      </c>
      <c r="D27" s="31"/>
      <c r="E27" s="31"/>
      <c r="F27" s="31"/>
      <c r="G27" s="31"/>
      <c r="H27" s="31" t="s">
        <v>163</v>
      </c>
      <c r="I27" s="32">
        <f>SUM(I4:I26)</f>
        <v>1740.3300000000002</v>
      </c>
    </row>
    <row r="28" spans="1:9" ht="30" customHeight="1">
      <c r="A28" t="s">
        <v>68</v>
      </c>
      <c r="B28" s="22">
        <v>3400</v>
      </c>
    </row>
    <row r="29" spans="1:9" ht="30" customHeight="1">
      <c r="A29" t="s">
        <v>69</v>
      </c>
      <c r="B29" s="22">
        <v>7280</v>
      </c>
    </row>
    <row r="30" spans="1:9" ht="30" customHeight="1">
      <c r="A30" t="s">
        <v>70</v>
      </c>
      <c r="B30" s="22">
        <v>18360</v>
      </c>
    </row>
    <row r="31" spans="1:9" ht="30" customHeight="1"/>
    <row r="32" spans="1:9" ht="30" customHeight="1"/>
    <row r="33" ht="30" customHeight="1"/>
    <row r="34" ht="30" customHeight="1"/>
    <row r="35" ht="30" customHeight="1"/>
  </sheetData>
  <mergeCells count="1">
    <mergeCell ref="D3:E3"/>
  </mergeCells>
  <phoneticPr fontId="1"/>
  <dataValidations count="3">
    <dataValidation type="list" allowBlank="1" showInputMessage="1" showErrorMessage="1" sqref="D4:D13 D15:D26" xr:uid="{F02C9688-E102-405E-B769-2DD9ED67C5C1}">
      <formula1>"PLA, ABS, PC, PET-CF"</formula1>
    </dataValidation>
    <dataValidation type="list" allowBlank="1" showInputMessage="1" sqref="E4:E26" xr:uid="{4D87528C-388D-48E2-89CB-A03F9F3DE2F3}">
      <formula1>"[白], [黒], [赤],[青],[オレンジ],[白・黒],[青・黒],[青・白]"</formula1>
    </dataValidation>
    <dataValidation type="list" allowBlank="1" showInputMessage="1" sqref="D14" xr:uid="{E68FDB19-5F24-4605-BBFC-0506CCA67975}">
      <formula1>"PLA, ABS, PC, PET-CF"</formula1>
    </dataValidation>
  </dataValidations>
  <pageMargins left="0.7" right="0.7" top="0.75" bottom="0.75" header="0.3" footer="0.3"/>
  <pageSetup paperSize="9" scale="6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8385C-5AB7-4D2E-B22A-CAA65204E6BE}">
  <dimension ref="A1:I35"/>
  <sheetViews>
    <sheetView view="pageBreakPreview" zoomScaleNormal="100" zoomScaleSheetLayoutView="100" workbookViewId="0">
      <selection activeCell="B26" sqref="B26"/>
    </sheetView>
  </sheetViews>
  <sheetFormatPr defaultRowHeight="18.75"/>
  <cols>
    <col min="1" max="1" width="11.375" customWidth="1"/>
    <col min="2" max="2" width="27.375" customWidth="1"/>
    <col min="3" max="3" width="10.625" customWidth="1"/>
    <col min="4" max="4" width="9.5" customWidth="1"/>
    <col min="5" max="5" width="9.25" customWidth="1"/>
    <col min="6" max="6" width="8" customWidth="1"/>
    <col min="7" max="7" width="16.25" bestFit="1" customWidth="1"/>
    <col min="8" max="9" width="12.125" customWidth="1"/>
  </cols>
  <sheetData>
    <row r="1" spans="1:9" ht="30">
      <c r="A1" s="1" t="s">
        <v>0</v>
      </c>
    </row>
    <row r="3" spans="1:9" ht="19.5" thickBot="1">
      <c r="A3" s="2" t="s">
        <v>1</v>
      </c>
      <c r="B3" s="2" t="s">
        <v>2</v>
      </c>
      <c r="C3" s="2" t="s">
        <v>3</v>
      </c>
      <c r="D3" s="48" t="s">
        <v>4</v>
      </c>
      <c r="E3" s="49"/>
      <c r="F3" s="2" t="s">
        <v>5</v>
      </c>
      <c r="G3" s="2" t="s">
        <v>6</v>
      </c>
      <c r="H3" s="2" t="s">
        <v>19</v>
      </c>
      <c r="I3" s="2" t="s">
        <v>20</v>
      </c>
    </row>
    <row r="4" spans="1:9" ht="30" customHeight="1">
      <c r="A4" s="3">
        <v>46056</v>
      </c>
      <c r="B4" s="4" t="s">
        <v>345</v>
      </c>
      <c r="C4" s="13" t="s">
        <v>94</v>
      </c>
      <c r="D4" s="15" t="s">
        <v>63</v>
      </c>
      <c r="E4" s="14" t="s">
        <v>65</v>
      </c>
      <c r="F4" s="19">
        <v>9</v>
      </c>
      <c r="G4" s="4" t="s">
        <v>210</v>
      </c>
      <c r="H4" s="4" t="s">
        <v>84</v>
      </c>
      <c r="I4" s="23">
        <f>IF(OR(D4="",C4="",F4=""), "", (F4/1000)*VLOOKUP(D4,$A$27:$B$30,2,FALSE) + IF(ISNUMBER(FIND("h",C4)), VALUE(LEFT(C4,FIND("h",C4)-1)) + VALUE(MID(C4,FIND("h",C4)+2,FIND("m",C4)-FIND("h",C4)-3))/60, VALUE(TRIM(LEFT(C4,FIND("m",C4)-1)))/60)*15)</f>
        <v>40.349999999999994</v>
      </c>
    </row>
    <row r="5" spans="1:9" ht="30" customHeight="1">
      <c r="A5" s="5">
        <v>46056</v>
      </c>
      <c r="B5" s="6" t="s">
        <v>391</v>
      </c>
      <c r="C5" s="6" t="s">
        <v>346</v>
      </c>
      <c r="D5" s="16" t="s">
        <v>63</v>
      </c>
      <c r="E5" s="29" t="s">
        <v>65</v>
      </c>
      <c r="F5" s="20">
        <v>69</v>
      </c>
      <c r="G5" s="6" t="s">
        <v>211</v>
      </c>
      <c r="H5" s="6" t="s">
        <v>181</v>
      </c>
      <c r="I5" s="23">
        <f t="shared" ref="I5:I26" si="0">IF(OR(D5="",C5="",F5=""), "", (F5/1000)*VLOOKUP(D5,$A$27:$B$30,2,FALSE) + IF(ISNUMBER(FIND("h",C5)), VALUE(LEFT(C5,FIND("h",C5)-1)) + VALUE(MID(C5,FIND("h",C5)+2,FIND("m",C5)-FIND("h",C5)-3))/60, VALUE(TRIM(LEFT(C5,FIND("m",C5)-1)))/60)*15)</f>
        <v>327.10000000000002</v>
      </c>
    </row>
    <row r="6" spans="1:9" ht="30" customHeight="1">
      <c r="A6" s="5">
        <v>46057</v>
      </c>
      <c r="B6" s="6" t="s">
        <v>391</v>
      </c>
      <c r="C6" s="6" t="s">
        <v>346</v>
      </c>
      <c r="D6" s="16" t="s">
        <v>86</v>
      </c>
      <c r="E6" s="29"/>
      <c r="F6" s="19">
        <v>83</v>
      </c>
      <c r="G6" s="6" t="s">
        <v>181</v>
      </c>
      <c r="H6" s="6" t="s">
        <v>181</v>
      </c>
      <c r="I6" s="23">
        <f t="shared" si="0"/>
        <v>1616.38</v>
      </c>
    </row>
    <row r="7" spans="1:9" ht="30" customHeight="1">
      <c r="A7" s="5">
        <v>46058</v>
      </c>
      <c r="B7" s="6" t="s">
        <v>394</v>
      </c>
      <c r="C7" s="6" t="s">
        <v>151</v>
      </c>
      <c r="D7" s="16" t="s">
        <v>63</v>
      </c>
      <c r="E7" s="29" t="s">
        <v>103</v>
      </c>
      <c r="F7" s="20">
        <v>10</v>
      </c>
      <c r="G7" s="11" t="s">
        <v>210</v>
      </c>
      <c r="H7" s="6" t="s">
        <v>181</v>
      </c>
      <c r="I7" s="23">
        <f t="shared" si="0"/>
        <v>51.5</v>
      </c>
    </row>
    <row r="8" spans="1:9" ht="30" customHeight="1">
      <c r="A8" s="5">
        <v>46058</v>
      </c>
      <c r="B8" s="6" t="s">
        <v>392</v>
      </c>
      <c r="C8" s="6" t="s">
        <v>273</v>
      </c>
      <c r="D8" s="16" t="s">
        <v>60</v>
      </c>
      <c r="E8" s="29" t="s">
        <v>65</v>
      </c>
      <c r="F8" s="20">
        <v>102</v>
      </c>
      <c r="G8" s="11" t="s">
        <v>210</v>
      </c>
      <c r="H8" s="6" t="s">
        <v>82</v>
      </c>
      <c r="I8" s="23">
        <f t="shared" si="0"/>
        <v>324.09999999999997</v>
      </c>
    </row>
    <row r="9" spans="1:9" ht="30" customHeight="1">
      <c r="A9" s="5">
        <v>46058</v>
      </c>
      <c r="B9" s="6" t="s">
        <v>393</v>
      </c>
      <c r="C9" s="6" t="s">
        <v>347</v>
      </c>
      <c r="D9" s="16" t="s">
        <v>60</v>
      </c>
      <c r="E9" s="29" t="s">
        <v>65</v>
      </c>
      <c r="F9" s="19">
        <v>84</v>
      </c>
      <c r="G9" s="6" t="s">
        <v>181</v>
      </c>
      <c r="H9" s="6" t="s">
        <v>181</v>
      </c>
      <c r="I9" s="23">
        <f t="shared" si="0"/>
        <v>264.20000000000005</v>
      </c>
    </row>
    <row r="10" spans="1:9" ht="30" customHeight="1">
      <c r="A10" s="5">
        <v>46059</v>
      </c>
      <c r="B10" s="6" t="s">
        <v>247</v>
      </c>
      <c r="C10" s="6" t="s">
        <v>292</v>
      </c>
      <c r="D10" s="16" t="s">
        <v>63</v>
      </c>
      <c r="E10" s="29" t="s">
        <v>62</v>
      </c>
      <c r="F10" s="20">
        <v>2</v>
      </c>
      <c r="G10" s="25" t="s">
        <v>358</v>
      </c>
      <c r="H10" s="6" t="s">
        <v>181</v>
      </c>
      <c r="I10" s="23">
        <f t="shared" si="0"/>
        <v>13.8</v>
      </c>
    </row>
    <row r="11" spans="1:9" ht="30" customHeight="1">
      <c r="A11" s="5">
        <v>46059</v>
      </c>
      <c r="B11" s="6" t="s">
        <v>395</v>
      </c>
      <c r="C11" s="6" t="s">
        <v>137</v>
      </c>
      <c r="D11" s="16" t="s">
        <v>63</v>
      </c>
      <c r="E11" s="29" t="s">
        <v>65</v>
      </c>
      <c r="F11" s="19">
        <v>3</v>
      </c>
      <c r="G11" s="11" t="s">
        <v>210</v>
      </c>
      <c r="H11" s="6" t="s">
        <v>84</v>
      </c>
      <c r="I11" s="23">
        <f t="shared" si="0"/>
        <v>19.200000000000003</v>
      </c>
    </row>
    <row r="12" spans="1:9" ht="30" customHeight="1">
      <c r="A12" s="5">
        <v>46062</v>
      </c>
      <c r="B12" s="6" t="s">
        <v>396</v>
      </c>
      <c r="C12" s="6" t="s">
        <v>348</v>
      </c>
      <c r="D12" s="16" t="s">
        <v>60</v>
      </c>
      <c r="E12" s="29" t="s">
        <v>65</v>
      </c>
      <c r="F12" s="20">
        <v>89</v>
      </c>
      <c r="G12" s="6" t="s">
        <v>181</v>
      </c>
      <c r="H12" s="6" t="s">
        <v>82</v>
      </c>
      <c r="I12" s="23">
        <f t="shared" si="0"/>
        <v>307.2</v>
      </c>
    </row>
    <row r="13" spans="1:9" ht="30" customHeight="1">
      <c r="A13" s="5">
        <v>46062</v>
      </c>
      <c r="B13" s="6" t="s">
        <v>397</v>
      </c>
      <c r="C13" s="6" t="s">
        <v>349</v>
      </c>
      <c r="D13" s="16" t="s">
        <v>60</v>
      </c>
      <c r="E13" s="29" t="s">
        <v>65</v>
      </c>
      <c r="F13" s="19">
        <v>41</v>
      </c>
      <c r="G13" s="11" t="s">
        <v>210</v>
      </c>
      <c r="H13" s="6" t="s">
        <v>84</v>
      </c>
      <c r="I13" s="23">
        <f t="shared" si="0"/>
        <v>155.55000000000001</v>
      </c>
    </row>
    <row r="14" spans="1:9" ht="30" customHeight="1">
      <c r="A14" s="5">
        <v>46062</v>
      </c>
      <c r="B14" s="6" t="s">
        <v>397</v>
      </c>
      <c r="C14" s="10" t="s">
        <v>350</v>
      </c>
      <c r="D14" s="16" t="s">
        <v>60</v>
      </c>
      <c r="E14" s="29" t="s">
        <v>65</v>
      </c>
      <c r="F14" s="20">
        <v>15</v>
      </c>
      <c r="G14" s="6" t="s">
        <v>181</v>
      </c>
      <c r="H14" s="6" t="s">
        <v>181</v>
      </c>
      <c r="I14" s="23">
        <f t="shared" si="0"/>
        <v>60.25</v>
      </c>
    </row>
    <row r="15" spans="1:9" ht="30" customHeight="1">
      <c r="A15" s="5">
        <v>46063</v>
      </c>
      <c r="B15" s="6" t="s">
        <v>398</v>
      </c>
      <c r="C15" s="6" t="s">
        <v>351</v>
      </c>
      <c r="D15" s="16" t="s">
        <v>60</v>
      </c>
      <c r="E15" s="29" t="s">
        <v>62</v>
      </c>
      <c r="F15" s="21">
        <v>103</v>
      </c>
      <c r="G15" s="6" t="s">
        <v>181</v>
      </c>
      <c r="H15" s="6" t="s">
        <v>181</v>
      </c>
      <c r="I15" s="23">
        <f t="shared" si="0"/>
        <v>335.65</v>
      </c>
    </row>
    <row r="16" spans="1:9" ht="30" customHeight="1">
      <c r="A16" s="5">
        <v>46063</v>
      </c>
      <c r="B16" s="6" t="s">
        <v>399</v>
      </c>
      <c r="C16" s="6" t="s">
        <v>352</v>
      </c>
      <c r="D16" s="16" t="s">
        <v>60</v>
      </c>
      <c r="E16" s="29" t="s">
        <v>62</v>
      </c>
      <c r="F16" s="19">
        <v>163</v>
      </c>
      <c r="G16" s="6" t="s">
        <v>181</v>
      </c>
      <c r="H16" s="6" t="s">
        <v>181</v>
      </c>
      <c r="I16" s="23">
        <f t="shared" si="0"/>
        <v>501.90000000000003</v>
      </c>
    </row>
    <row r="17" spans="1:9" ht="30" customHeight="1">
      <c r="A17" s="5">
        <v>46063</v>
      </c>
      <c r="B17" s="6" t="s">
        <v>400</v>
      </c>
      <c r="C17" s="6" t="s">
        <v>353</v>
      </c>
      <c r="D17" s="16" t="s">
        <v>60</v>
      </c>
      <c r="E17" s="29" t="s">
        <v>65</v>
      </c>
      <c r="F17" s="20">
        <v>11</v>
      </c>
      <c r="G17" s="6" t="s">
        <v>181</v>
      </c>
      <c r="H17" s="6" t="s">
        <v>82</v>
      </c>
      <c r="I17" s="23">
        <f t="shared" si="0"/>
        <v>37.299999999999997</v>
      </c>
    </row>
    <row r="18" spans="1:9" ht="30" customHeight="1">
      <c r="A18" s="5">
        <v>46063</v>
      </c>
      <c r="B18" s="6" t="s">
        <v>247</v>
      </c>
      <c r="C18" s="6" t="s">
        <v>288</v>
      </c>
      <c r="D18" s="16" t="s">
        <v>63</v>
      </c>
      <c r="E18" s="29" t="s">
        <v>65</v>
      </c>
      <c r="F18" s="19">
        <v>24</v>
      </c>
      <c r="G18" s="11" t="s">
        <v>247</v>
      </c>
      <c r="H18" s="6" t="s">
        <v>181</v>
      </c>
      <c r="I18" s="23">
        <f t="shared" si="0"/>
        <v>111.35000000000001</v>
      </c>
    </row>
    <row r="19" spans="1:9" ht="30" customHeight="1">
      <c r="A19" s="5">
        <v>46065</v>
      </c>
      <c r="B19" s="6"/>
      <c r="C19" s="6" t="s">
        <v>354</v>
      </c>
      <c r="D19" s="16" t="s">
        <v>60</v>
      </c>
      <c r="E19" s="29" t="s">
        <v>62</v>
      </c>
      <c r="F19" s="20">
        <v>154</v>
      </c>
      <c r="G19" s="26" t="s">
        <v>210</v>
      </c>
      <c r="H19" s="6" t="s">
        <v>181</v>
      </c>
      <c r="I19" s="23">
        <f t="shared" si="0"/>
        <v>475.95</v>
      </c>
    </row>
    <row r="20" spans="1:9" ht="30" customHeight="1">
      <c r="A20" s="5">
        <v>46065</v>
      </c>
      <c r="B20" s="6" t="s">
        <v>401</v>
      </c>
      <c r="C20" s="6" t="s">
        <v>153</v>
      </c>
      <c r="D20" s="16" t="s">
        <v>86</v>
      </c>
      <c r="E20" s="29"/>
      <c r="F20" s="19">
        <v>81</v>
      </c>
      <c r="G20" s="6" t="s">
        <v>181</v>
      </c>
      <c r="H20" s="6" t="s">
        <v>181</v>
      </c>
      <c r="I20" s="23">
        <f t="shared" si="0"/>
        <v>1526.41</v>
      </c>
    </row>
    <row r="21" spans="1:9" ht="30" customHeight="1">
      <c r="A21" s="5">
        <v>46066</v>
      </c>
      <c r="B21" s="6" t="s">
        <v>247</v>
      </c>
      <c r="C21" s="6" t="s">
        <v>204</v>
      </c>
      <c r="D21" s="16" t="s">
        <v>63</v>
      </c>
      <c r="E21" s="29" t="s">
        <v>62</v>
      </c>
      <c r="F21" s="20">
        <v>8</v>
      </c>
      <c r="G21" s="6" t="s">
        <v>247</v>
      </c>
      <c r="H21" s="6" t="s">
        <v>181</v>
      </c>
      <c r="I21" s="23">
        <f t="shared" si="0"/>
        <v>41.2</v>
      </c>
    </row>
    <row r="22" spans="1:9" ht="30" customHeight="1">
      <c r="A22" s="5">
        <v>46069</v>
      </c>
      <c r="B22" s="6" t="s">
        <v>401</v>
      </c>
      <c r="C22" s="6" t="s">
        <v>355</v>
      </c>
      <c r="D22" s="16" t="s">
        <v>60</v>
      </c>
      <c r="E22" s="29" t="s">
        <v>62</v>
      </c>
      <c r="F22" s="19">
        <v>50</v>
      </c>
      <c r="G22" s="26" t="s">
        <v>210</v>
      </c>
      <c r="H22" s="6" t="s">
        <v>181</v>
      </c>
      <c r="I22" s="23">
        <f t="shared" si="0"/>
        <v>160</v>
      </c>
    </row>
    <row r="23" spans="1:9" ht="30" customHeight="1">
      <c r="A23" s="5">
        <v>46069</v>
      </c>
      <c r="B23" s="50" t="s">
        <v>404</v>
      </c>
      <c r="C23" s="6" t="s">
        <v>356</v>
      </c>
      <c r="D23" s="16" t="s">
        <v>60</v>
      </c>
      <c r="E23" s="29" t="s">
        <v>65</v>
      </c>
      <c r="F23" s="8">
        <v>22</v>
      </c>
      <c r="G23" s="6" t="s">
        <v>181</v>
      </c>
      <c r="H23" s="6" t="s">
        <v>181</v>
      </c>
      <c r="I23" s="23">
        <f t="shared" si="0"/>
        <v>72.349999999999994</v>
      </c>
    </row>
    <row r="24" spans="1:9" ht="30" customHeight="1">
      <c r="A24" s="5">
        <v>46070</v>
      </c>
      <c r="B24" s="6"/>
      <c r="C24" s="6" t="s">
        <v>357</v>
      </c>
      <c r="D24" s="16" t="s">
        <v>60</v>
      </c>
      <c r="E24" s="29" t="s">
        <v>65</v>
      </c>
      <c r="F24" s="19">
        <v>877</v>
      </c>
      <c r="G24" s="6" t="s">
        <v>181</v>
      </c>
      <c r="H24" s="6" t="s">
        <v>84</v>
      </c>
      <c r="I24" s="23">
        <f t="shared" si="0"/>
        <v>2718.1</v>
      </c>
    </row>
    <row r="25" spans="1:9" ht="30" customHeight="1">
      <c r="A25" s="5">
        <v>46071</v>
      </c>
      <c r="B25" s="6" t="s">
        <v>402</v>
      </c>
      <c r="C25" s="6" t="s">
        <v>223</v>
      </c>
      <c r="D25" s="16" t="s">
        <v>60</v>
      </c>
      <c r="E25" s="29" t="s">
        <v>65</v>
      </c>
      <c r="F25" s="8">
        <v>49</v>
      </c>
      <c r="G25" s="6" t="s">
        <v>181</v>
      </c>
      <c r="H25" s="6" t="s">
        <v>181</v>
      </c>
      <c r="I25" s="23">
        <f t="shared" si="0"/>
        <v>162.70000000000002</v>
      </c>
    </row>
    <row r="26" spans="1:9" ht="30" customHeight="1">
      <c r="A26" s="5">
        <v>46072</v>
      </c>
      <c r="B26" s="6" t="s">
        <v>403</v>
      </c>
      <c r="C26" s="6" t="s">
        <v>294</v>
      </c>
      <c r="D26" s="16" t="s">
        <v>60</v>
      </c>
      <c r="E26" s="29" t="s">
        <v>62</v>
      </c>
      <c r="F26" s="8">
        <v>45</v>
      </c>
      <c r="G26" s="6" t="s">
        <v>181</v>
      </c>
      <c r="H26" s="6" t="s">
        <v>375</v>
      </c>
      <c r="I26" s="23">
        <f t="shared" si="0"/>
        <v>146.25</v>
      </c>
    </row>
    <row r="27" spans="1:9" ht="30" customHeight="1">
      <c r="A27" s="18" t="s">
        <v>67</v>
      </c>
      <c r="B27" s="22">
        <v>2800</v>
      </c>
      <c r="C27" s="31" t="s">
        <v>21</v>
      </c>
      <c r="D27" s="31"/>
      <c r="E27" s="31"/>
      <c r="F27" s="31"/>
      <c r="G27" s="31"/>
      <c r="H27" s="31" t="s">
        <v>163</v>
      </c>
      <c r="I27" s="32">
        <f>SUM(I4:I26)</f>
        <v>9468.7900000000009</v>
      </c>
    </row>
    <row r="28" spans="1:9" ht="30" customHeight="1">
      <c r="A28" t="s">
        <v>68</v>
      </c>
      <c r="B28" s="22">
        <v>3400</v>
      </c>
    </row>
    <row r="29" spans="1:9" ht="30" customHeight="1">
      <c r="A29" t="s">
        <v>69</v>
      </c>
      <c r="B29" s="22">
        <v>7280</v>
      </c>
    </row>
    <row r="30" spans="1:9" ht="30" customHeight="1">
      <c r="A30" t="s">
        <v>70</v>
      </c>
      <c r="B30" s="22">
        <v>18360</v>
      </c>
    </row>
    <row r="31" spans="1:9" ht="30" customHeight="1"/>
    <row r="32" spans="1:9" ht="30" customHeight="1"/>
    <row r="33" ht="30" customHeight="1"/>
    <row r="34" ht="30" customHeight="1"/>
    <row r="35" ht="30" customHeight="1"/>
  </sheetData>
  <mergeCells count="1">
    <mergeCell ref="D3:E3"/>
  </mergeCells>
  <phoneticPr fontId="1"/>
  <dataValidations disablePrompts="1" count="2">
    <dataValidation type="list" allowBlank="1" showInputMessage="1" showErrorMessage="1" sqref="E4:E26" xr:uid="{6B36E718-941C-41EC-B69E-5DB1FBE3F6EE}">
      <formula1>"[白], [黒], [赤],[青],[オレンジ],[白・黒],[青・黒],[青・白]"</formula1>
    </dataValidation>
    <dataValidation type="list" allowBlank="1" showInputMessage="1" showErrorMessage="1" sqref="D4:D26" xr:uid="{195CE9A1-D31B-4CAB-ABBF-2F76DF170772}">
      <formula1>"PLA, ABS, PC, PET-CF"</formula1>
    </dataValidation>
  </dataValidations>
  <pageMargins left="0.7" right="0.7" top="0.75" bottom="0.75" header="0.3" footer="0.3"/>
  <pageSetup paperSize="9" scale="6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6D066-2E5B-4C6E-BEA1-D4A7B00DB369}">
  <dimension ref="A1:I35"/>
  <sheetViews>
    <sheetView tabSelected="1" view="pageBreakPreview" zoomScaleNormal="100" zoomScaleSheetLayoutView="100" workbookViewId="0">
      <selection activeCell="I21" sqref="I21"/>
    </sheetView>
  </sheetViews>
  <sheetFormatPr defaultRowHeight="18.75"/>
  <cols>
    <col min="1" max="1" width="11.375" customWidth="1"/>
    <col min="2" max="2" width="27.375" customWidth="1"/>
    <col min="3" max="3" width="10.625" customWidth="1"/>
    <col min="4" max="4" width="9.5" customWidth="1"/>
    <col min="5" max="5" width="9.25" customWidth="1"/>
    <col min="6" max="6" width="8" customWidth="1"/>
    <col min="7" max="7" width="16.25" bestFit="1" customWidth="1"/>
    <col min="8" max="9" width="12.125" customWidth="1"/>
  </cols>
  <sheetData>
    <row r="1" spans="1:9" ht="30">
      <c r="A1" s="1" t="s">
        <v>0</v>
      </c>
    </row>
    <row r="3" spans="1:9" ht="19.5" thickBot="1">
      <c r="A3" s="2" t="s">
        <v>1</v>
      </c>
      <c r="B3" s="2" t="s">
        <v>2</v>
      </c>
      <c r="C3" s="2" t="s">
        <v>3</v>
      </c>
      <c r="D3" s="48" t="s">
        <v>4</v>
      </c>
      <c r="E3" s="49"/>
      <c r="F3" s="2" t="s">
        <v>5</v>
      </c>
      <c r="G3" s="2" t="s">
        <v>6</v>
      </c>
      <c r="H3" s="2" t="s">
        <v>19</v>
      </c>
      <c r="I3" s="2" t="s">
        <v>20</v>
      </c>
    </row>
    <row r="4" spans="1:9" ht="30" customHeight="1">
      <c r="A4" s="3">
        <v>46072</v>
      </c>
      <c r="B4" s="6" t="s">
        <v>385</v>
      </c>
      <c r="C4" s="13" t="s">
        <v>360</v>
      </c>
      <c r="D4" s="15" t="s">
        <v>63</v>
      </c>
      <c r="E4" s="14" t="s">
        <v>65</v>
      </c>
      <c r="F4" s="19">
        <v>79</v>
      </c>
      <c r="G4" s="4" t="s">
        <v>210</v>
      </c>
      <c r="H4" s="4" t="s">
        <v>84</v>
      </c>
      <c r="I4" s="23">
        <f>IF(OR(D4="",C4="",F4=""), "", (F4/1000)*VLOOKUP(D4,$A$27:$B$30,2,FALSE) + IF(ISNUMBER(FIND("h",C4)), VALUE(LEFT(C4,FIND("h",C4)-1)) + VALUE(MID(C4,FIND("h",C4)+2,FIND("m",C4)-FIND("h",C4)-3))/60, VALUE(TRIM(LEFT(C4,FIND("m",C4)-1)))/60)*15)</f>
        <v>383.85</v>
      </c>
    </row>
    <row r="5" spans="1:9" ht="30" customHeight="1">
      <c r="A5" s="5">
        <v>46072</v>
      </c>
      <c r="B5" s="6" t="s">
        <v>386</v>
      </c>
      <c r="C5" s="6" t="s">
        <v>361</v>
      </c>
      <c r="D5" s="16" t="s">
        <v>60</v>
      </c>
      <c r="E5" s="29" t="s">
        <v>62</v>
      </c>
      <c r="F5" s="20">
        <v>155</v>
      </c>
      <c r="G5" s="6" t="s">
        <v>181</v>
      </c>
      <c r="H5" s="6" t="s">
        <v>375</v>
      </c>
      <c r="I5" s="23">
        <f t="shared" ref="I5:I26" si="0">IF(OR(D5="",C5="",F5=""), "", (F5/1000)*VLOOKUP(D5,$A$27:$B$30,2,FALSE) + IF(ISNUMBER(FIND("h",C5)), VALUE(LEFT(C5,FIND("h",C5)-1)) + VALUE(MID(C5,FIND("h",C5)+2,FIND("m",C5)-FIND("h",C5)-3))/60, VALUE(TRIM(LEFT(C5,FIND("m",C5)-1)))/60)*15)</f>
        <v>490.25</v>
      </c>
    </row>
    <row r="6" spans="1:9" ht="30" customHeight="1">
      <c r="A6" s="5">
        <v>46073</v>
      </c>
      <c r="B6" s="6" t="s">
        <v>387</v>
      </c>
      <c r="C6" s="6" t="s">
        <v>362</v>
      </c>
      <c r="D6" s="16" t="s">
        <v>60</v>
      </c>
      <c r="E6" s="29" t="s">
        <v>62</v>
      </c>
      <c r="F6" s="19">
        <v>136</v>
      </c>
      <c r="G6" s="6" t="s">
        <v>181</v>
      </c>
      <c r="H6" s="6" t="s">
        <v>181</v>
      </c>
      <c r="I6" s="23">
        <f t="shared" si="0"/>
        <v>430.3</v>
      </c>
    </row>
    <row r="7" spans="1:9" ht="30" customHeight="1">
      <c r="A7" s="5">
        <v>46073</v>
      </c>
      <c r="B7" s="6" t="s">
        <v>388</v>
      </c>
      <c r="C7" s="6" t="s">
        <v>285</v>
      </c>
      <c r="D7" s="16" t="s">
        <v>60</v>
      </c>
      <c r="E7" s="29" t="s">
        <v>62</v>
      </c>
      <c r="F7" s="20">
        <v>50</v>
      </c>
      <c r="G7" s="6" t="s">
        <v>181</v>
      </c>
      <c r="H7" s="6" t="s">
        <v>181</v>
      </c>
      <c r="I7" s="23">
        <f t="shared" si="0"/>
        <v>161.75</v>
      </c>
    </row>
    <row r="8" spans="1:9" ht="30" customHeight="1">
      <c r="A8" s="5">
        <v>46073</v>
      </c>
      <c r="B8" s="6" t="s">
        <v>389</v>
      </c>
      <c r="C8" s="6" t="s">
        <v>363</v>
      </c>
      <c r="D8" s="16" t="s">
        <v>60</v>
      </c>
      <c r="E8" s="29" t="s">
        <v>65</v>
      </c>
      <c r="F8" s="20">
        <v>105</v>
      </c>
      <c r="G8" s="6" t="s">
        <v>181</v>
      </c>
      <c r="H8" s="6" t="s">
        <v>181</v>
      </c>
      <c r="I8" s="23">
        <f t="shared" si="0"/>
        <v>349.25</v>
      </c>
    </row>
    <row r="9" spans="1:9" ht="30" customHeight="1">
      <c r="A9" s="5">
        <v>46073</v>
      </c>
      <c r="B9" s="6" t="s">
        <v>390</v>
      </c>
      <c r="C9" s="6" t="s">
        <v>364</v>
      </c>
      <c r="D9" s="16" t="s">
        <v>60</v>
      </c>
      <c r="E9" s="29" t="s">
        <v>65</v>
      </c>
      <c r="F9" s="19">
        <v>1</v>
      </c>
      <c r="G9" s="6" t="s">
        <v>181</v>
      </c>
      <c r="H9" s="6" t="s">
        <v>181</v>
      </c>
      <c r="I9" s="23">
        <f t="shared" si="0"/>
        <v>5.5500000000000007</v>
      </c>
    </row>
    <row r="10" spans="1:9" ht="30" customHeight="1">
      <c r="A10" s="5">
        <v>46076</v>
      </c>
      <c r="B10" s="6" t="s">
        <v>383</v>
      </c>
      <c r="C10" s="6" t="s">
        <v>365</v>
      </c>
      <c r="D10" s="16" t="s">
        <v>60</v>
      </c>
      <c r="E10" s="29" t="s">
        <v>65</v>
      </c>
      <c r="F10" s="20">
        <v>126</v>
      </c>
      <c r="G10" s="25" t="s">
        <v>211</v>
      </c>
      <c r="H10" s="6" t="s">
        <v>84</v>
      </c>
      <c r="I10" s="23">
        <f t="shared" si="0"/>
        <v>428.3</v>
      </c>
    </row>
    <row r="11" spans="1:9" ht="30" customHeight="1">
      <c r="A11" s="5">
        <v>46077</v>
      </c>
      <c r="B11" s="6" t="s">
        <v>384</v>
      </c>
      <c r="C11" s="6" t="s">
        <v>359</v>
      </c>
      <c r="D11" s="16" t="s">
        <v>60</v>
      </c>
      <c r="E11" s="29" t="s">
        <v>61</v>
      </c>
      <c r="F11" s="19">
        <v>110</v>
      </c>
      <c r="G11" s="25" t="s">
        <v>211</v>
      </c>
      <c r="H11" s="6" t="s">
        <v>84</v>
      </c>
      <c r="I11" s="23">
        <f t="shared" si="0"/>
        <v>379.25</v>
      </c>
    </row>
    <row r="12" spans="1:9" ht="30" customHeight="1">
      <c r="A12" s="5">
        <v>46077</v>
      </c>
      <c r="B12" s="25" t="s">
        <v>382</v>
      </c>
      <c r="C12" s="6" t="s">
        <v>22</v>
      </c>
      <c r="D12" s="16" t="s">
        <v>60</v>
      </c>
      <c r="E12" s="29" t="s">
        <v>65</v>
      </c>
      <c r="F12" s="20">
        <v>3</v>
      </c>
      <c r="G12" s="6" t="s">
        <v>210</v>
      </c>
      <c r="H12" s="6" t="s">
        <v>82</v>
      </c>
      <c r="I12" s="23">
        <f t="shared" si="0"/>
        <v>14.15</v>
      </c>
    </row>
    <row r="13" spans="1:9" ht="30" customHeight="1">
      <c r="A13" s="5">
        <v>46077</v>
      </c>
      <c r="B13" s="6" t="s">
        <v>381</v>
      </c>
      <c r="C13" s="6" t="s">
        <v>367</v>
      </c>
      <c r="D13" s="16" t="s">
        <v>86</v>
      </c>
      <c r="E13" s="29"/>
      <c r="F13" s="19">
        <v>80</v>
      </c>
      <c r="G13" s="6" t="s">
        <v>181</v>
      </c>
      <c r="H13" s="6" t="s">
        <v>181</v>
      </c>
      <c r="I13" s="23">
        <f t="shared" si="0"/>
        <v>1525.3</v>
      </c>
    </row>
    <row r="14" spans="1:9" ht="30" customHeight="1">
      <c r="A14" s="5">
        <v>46078</v>
      </c>
      <c r="B14" s="6" t="s">
        <v>381</v>
      </c>
      <c r="C14" s="10" t="s">
        <v>368</v>
      </c>
      <c r="D14" s="16" t="s">
        <v>86</v>
      </c>
      <c r="E14" s="29"/>
      <c r="F14" s="20">
        <v>52</v>
      </c>
      <c r="G14" s="6" t="s">
        <v>181</v>
      </c>
      <c r="H14" s="6" t="s">
        <v>181</v>
      </c>
      <c r="I14" s="23">
        <f t="shared" si="0"/>
        <v>998.21999999999991</v>
      </c>
    </row>
    <row r="15" spans="1:9" ht="30" customHeight="1">
      <c r="A15" s="5">
        <v>46078</v>
      </c>
      <c r="B15" s="6" t="s">
        <v>380</v>
      </c>
      <c r="C15" s="6" t="s">
        <v>369</v>
      </c>
      <c r="D15" s="16" t="s">
        <v>60</v>
      </c>
      <c r="E15" s="29" t="s">
        <v>65</v>
      </c>
      <c r="F15" s="21">
        <v>58</v>
      </c>
      <c r="G15" s="6" t="s">
        <v>181</v>
      </c>
      <c r="H15" s="6" t="s">
        <v>375</v>
      </c>
      <c r="I15" s="23">
        <f t="shared" si="0"/>
        <v>216.15</v>
      </c>
    </row>
    <row r="16" spans="1:9" ht="30" customHeight="1">
      <c r="A16" s="5">
        <v>46078</v>
      </c>
      <c r="B16" s="6" t="s">
        <v>378</v>
      </c>
      <c r="C16" s="6" t="s">
        <v>370</v>
      </c>
      <c r="D16" s="16" t="s">
        <v>60</v>
      </c>
      <c r="E16" s="29" t="s">
        <v>62</v>
      </c>
      <c r="F16" s="19">
        <v>142</v>
      </c>
      <c r="G16" s="6" t="s">
        <v>181</v>
      </c>
      <c r="H16" s="6" t="s">
        <v>181</v>
      </c>
      <c r="I16" s="23">
        <f t="shared" si="0"/>
        <v>442.09999999999997</v>
      </c>
    </row>
    <row r="17" spans="1:9" ht="30" customHeight="1">
      <c r="A17" s="5">
        <v>46078</v>
      </c>
      <c r="B17" s="6" t="s">
        <v>379</v>
      </c>
      <c r="C17" s="6" t="s">
        <v>371</v>
      </c>
      <c r="D17" s="16" t="s">
        <v>60</v>
      </c>
      <c r="E17" s="29" t="s">
        <v>62</v>
      </c>
      <c r="F17" s="20">
        <v>317</v>
      </c>
      <c r="G17" s="6" t="s">
        <v>181</v>
      </c>
      <c r="H17" s="6" t="s">
        <v>181</v>
      </c>
      <c r="I17" s="23">
        <f t="shared" si="0"/>
        <v>1001.6</v>
      </c>
    </row>
    <row r="18" spans="1:9" ht="30" customHeight="1">
      <c r="A18" s="5">
        <v>46079</v>
      </c>
      <c r="B18" s="6" t="s">
        <v>378</v>
      </c>
      <c r="C18" s="6" t="s">
        <v>372</v>
      </c>
      <c r="D18" s="16" t="s">
        <v>60</v>
      </c>
      <c r="E18" s="29" t="s">
        <v>62</v>
      </c>
      <c r="F18" s="19">
        <v>195</v>
      </c>
      <c r="G18" s="6" t="s">
        <v>181</v>
      </c>
      <c r="H18" s="6" t="s">
        <v>181</v>
      </c>
      <c r="I18" s="23">
        <f t="shared" si="0"/>
        <v>607.75</v>
      </c>
    </row>
    <row r="19" spans="1:9" ht="30" customHeight="1">
      <c r="A19" s="5">
        <v>46079</v>
      </c>
      <c r="B19" s="6" t="s">
        <v>377</v>
      </c>
      <c r="C19" s="6" t="s">
        <v>373</v>
      </c>
      <c r="D19" s="16" t="s">
        <v>60</v>
      </c>
      <c r="E19" s="29" t="s">
        <v>62</v>
      </c>
      <c r="F19" s="20">
        <v>359</v>
      </c>
      <c r="G19" s="6" t="s">
        <v>181</v>
      </c>
      <c r="H19" s="6" t="s">
        <v>181</v>
      </c>
      <c r="I19" s="23">
        <f t="shared" si="0"/>
        <v>1134.4499999999998</v>
      </c>
    </row>
    <row r="20" spans="1:9" ht="30" customHeight="1">
      <c r="A20" s="5">
        <v>46080</v>
      </c>
      <c r="B20" s="6"/>
      <c r="C20" s="6" t="s">
        <v>374</v>
      </c>
      <c r="D20" s="16" t="s">
        <v>60</v>
      </c>
      <c r="E20" s="29" t="s">
        <v>62</v>
      </c>
      <c r="F20" s="19">
        <v>125</v>
      </c>
      <c r="G20" s="6" t="s">
        <v>181</v>
      </c>
      <c r="H20" s="6" t="s">
        <v>84</v>
      </c>
      <c r="I20" s="23">
        <f t="shared" si="0"/>
        <v>448</v>
      </c>
    </row>
    <row r="21" spans="1:9" ht="30" customHeight="1">
      <c r="A21" s="5">
        <v>46080</v>
      </c>
      <c r="B21" s="6" t="s">
        <v>376</v>
      </c>
      <c r="C21" s="6" t="s">
        <v>366</v>
      </c>
      <c r="D21" s="16" t="s">
        <v>60</v>
      </c>
      <c r="E21" s="29" t="s">
        <v>62</v>
      </c>
      <c r="F21" s="20">
        <v>102</v>
      </c>
      <c r="G21" s="6" t="s">
        <v>210</v>
      </c>
      <c r="H21" s="6" t="s">
        <v>375</v>
      </c>
      <c r="I21" s="23">
        <f t="shared" si="0"/>
        <v>325.59999999999997</v>
      </c>
    </row>
    <row r="22" spans="1:9" ht="30" customHeight="1">
      <c r="A22" s="5"/>
      <c r="B22" s="6"/>
      <c r="C22" s="6"/>
      <c r="D22" s="16"/>
      <c r="E22" s="29"/>
      <c r="F22" s="19"/>
      <c r="G22" s="26"/>
      <c r="H22" s="6"/>
      <c r="I22" s="23" t="str">
        <f t="shared" si="0"/>
        <v/>
      </c>
    </row>
    <row r="23" spans="1:9" ht="30" customHeight="1">
      <c r="A23" s="5"/>
      <c r="B23" s="6"/>
      <c r="C23" s="6"/>
      <c r="D23" s="16"/>
      <c r="E23" s="29"/>
      <c r="F23" s="8"/>
      <c r="G23" s="6"/>
      <c r="H23" s="6"/>
      <c r="I23" s="23" t="str">
        <f t="shared" si="0"/>
        <v/>
      </c>
    </row>
    <row r="24" spans="1:9" ht="30" customHeight="1">
      <c r="A24" s="5"/>
      <c r="B24" s="6"/>
      <c r="C24" s="6"/>
      <c r="D24" s="16"/>
      <c r="E24" s="29"/>
      <c r="F24" s="19"/>
      <c r="G24" s="6"/>
      <c r="H24" s="6"/>
      <c r="I24" s="23" t="str">
        <f t="shared" si="0"/>
        <v/>
      </c>
    </row>
    <row r="25" spans="1:9" ht="30" customHeight="1">
      <c r="A25" s="5"/>
      <c r="B25" s="6"/>
      <c r="C25" s="6"/>
      <c r="D25" s="16"/>
      <c r="E25" s="29"/>
      <c r="F25" s="8"/>
      <c r="G25" s="11"/>
      <c r="H25" s="6"/>
      <c r="I25" s="23" t="str">
        <f t="shared" si="0"/>
        <v/>
      </c>
    </row>
    <row r="26" spans="1:9" ht="30" customHeight="1">
      <c r="A26" s="5"/>
      <c r="B26" s="6"/>
      <c r="C26" s="6"/>
      <c r="D26" s="16"/>
      <c r="E26" s="29"/>
      <c r="F26" s="8"/>
      <c r="G26" s="11"/>
      <c r="H26" s="6"/>
      <c r="I26" s="23" t="str">
        <f t="shared" si="0"/>
        <v/>
      </c>
    </row>
    <row r="27" spans="1:9" ht="30" customHeight="1">
      <c r="A27" s="18" t="s">
        <v>67</v>
      </c>
      <c r="B27" s="22">
        <v>2800</v>
      </c>
      <c r="C27" s="31" t="s">
        <v>21</v>
      </c>
      <c r="D27" s="31"/>
      <c r="E27" s="31"/>
      <c r="F27" s="31"/>
      <c r="G27" s="31"/>
      <c r="H27" s="31" t="s">
        <v>163</v>
      </c>
      <c r="I27" s="32">
        <f>SUM(I4:I26)</f>
        <v>9341.8200000000015</v>
      </c>
    </row>
    <row r="28" spans="1:9" ht="30" customHeight="1">
      <c r="A28" t="s">
        <v>68</v>
      </c>
      <c r="B28" s="22">
        <v>3400</v>
      </c>
    </row>
    <row r="29" spans="1:9" ht="30" customHeight="1">
      <c r="A29" t="s">
        <v>69</v>
      </c>
      <c r="B29" s="22">
        <v>7280</v>
      </c>
    </row>
    <row r="30" spans="1:9" ht="30" customHeight="1">
      <c r="A30" t="s">
        <v>70</v>
      </c>
      <c r="B30" s="22">
        <v>18360</v>
      </c>
    </row>
    <row r="31" spans="1:9" ht="30" customHeight="1"/>
    <row r="32" spans="1:9" ht="30" customHeight="1"/>
    <row r="33" ht="30" customHeight="1"/>
    <row r="34" ht="30" customHeight="1"/>
    <row r="35" ht="30" customHeight="1"/>
  </sheetData>
  <mergeCells count="1">
    <mergeCell ref="D3:E3"/>
  </mergeCells>
  <phoneticPr fontId="1"/>
  <dataValidations disablePrompts="1" count="2">
    <dataValidation type="list" allowBlank="1" showInputMessage="1" showErrorMessage="1" sqref="E4:E26" xr:uid="{8428CB06-5D0E-4643-B35A-5FF7EE4C0D69}">
      <formula1>"[白], [黒], [赤],[青],[オレンジ],[白・黒],[青・黒],[青・白]"</formula1>
    </dataValidation>
    <dataValidation type="list" allowBlank="1" showInputMessage="1" showErrorMessage="1" sqref="D4:D26" xr:uid="{C5B9348B-E0A1-4C6D-8E2A-E31F6A34D93F}">
      <formula1>"PLA, ABS, PC, PET-CF"</formula1>
    </dataValidation>
  </dataValidations>
  <pageMargins left="0.7" right="0.7" top="0.75" bottom="0.75" header="0.3" footer="0.3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ワークシート</vt:lpstr>
      </vt:variant>
      <vt:variant>
        <vt:i4>11</vt:i4>
      </vt:variant>
      <vt:variant>
        <vt:lpstr>グラフ</vt:lpstr>
      </vt:variant>
      <vt:variant>
        <vt:i4>2</vt:i4>
      </vt:variant>
      <vt:variant>
        <vt:lpstr>名前付き一覧</vt:lpstr>
      </vt:variant>
      <vt:variant>
        <vt:i4>10</vt:i4>
      </vt:variant>
    </vt:vector>
  </HeadingPairs>
  <TitlesOfParts>
    <vt:vector size="23" baseType="lpstr">
      <vt:lpstr>集計用</vt:lpstr>
      <vt:lpstr>genshi</vt:lpstr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グラフ1</vt:lpstr>
      <vt:lpstr>グラフ2</vt:lpstr>
      <vt:lpstr>genshi!Print_Area</vt:lpstr>
      <vt:lpstr>Sheet1!Print_Area</vt:lpstr>
      <vt:lpstr>Sheet2!Print_Area</vt:lpstr>
      <vt:lpstr>Sheet3!Print_Area</vt:lpstr>
      <vt:lpstr>Sheet4!Print_Area</vt:lpstr>
      <vt:lpstr>Sheet5!Print_Area</vt:lpstr>
      <vt:lpstr>Sheet6!Print_Area</vt:lpstr>
      <vt:lpstr>Sheet7!Print_Area</vt:lpstr>
      <vt:lpstr>Sheet8!Print_Area</vt:lpstr>
      <vt:lpstr>Sheet9!Print_Area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鶴薗勝彦</dc:creator>
  <cp:lastModifiedBy>堀田磨作己</cp:lastModifiedBy>
  <cp:lastPrinted>2026-01-20T23:19:27Z</cp:lastPrinted>
  <dcterms:created xsi:type="dcterms:W3CDTF">2025-05-23T07:28:51Z</dcterms:created>
  <dcterms:modified xsi:type="dcterms:W3CDTF">2026-03-05T07:59:52Z</dcterms:modified>
</cp:coreProperties>
</file>